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c9d95a20905d0b7/Personal/Personal/Workout Data/"/>
    </mc:Choice>
  </mc:AlternateContent>
  <xr:revisionPtr revIDLastSave="18" documentId="8_{4F39A0D5-DAD5-47F4-90B3-C98DEEF09E0A}" xr6:coauthVersionLast="47" xr6:coauthVersionMax="47" xr10:uidLastSave="{9A8C0E31-67F7-4590-B9A7-C048BA2BE431}"/>
  <bookViews>
    <workbookView xWindow="28680" yWindow="15" windowWidth="29040" windowHeight="15720" activeTab="1" xr2:uid="{163677AC-604A-44A7-B7BB-8851D27F4C15}"/>
  </bookViews>
  <sheets>
    <sheet name="workouts-export" sheetId="1" r:id="rId1"/>
    <sheet name="Workout_2026-0121" sheetId="2" r:id="rId2"/>
  </sheets>
  <definedNames>
    <definedName name="_xlnm._FilterDatabase" localSheetId="1" hidden="1">'Workout_2026-0121'!$A$1:$AO$193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0" i="2" l="1"/>
  <c r="E140" i="2" s="1"/>
  <c r="F140" i="2" s="1"/>
  <c r="D79" i="2"/>
  <c r="E79" i="2" s="1"/>
  <c r="F79" i="2" s="1"/>
  <c r="D157" i="2"/>
  <c r="E157" i="2" s="1"/>
  <c r="F157" i="2" s="1"/>
  <c r="D138" i="2"/>
  <c r="E138" i="2" s="1"/>
  <c r="F138" i="2" s="1"/>
  <c r="D142" i="2"/>
  <c r="E142" i="2" s="1"/>
  <c r="F142" i="2" s="1"/>
  <c r="D190" i="2"/>
  <c r="E190" i="2" s="1"/>
  <c r="F190" i="2" s="1"/>
  <c r="D3" i="2"/>
  <c r="E3" i="2" s="1"/>
  <c r="F3" i="2" s="1"/>
  <c r="D107" i="2"/>
  <c r="E107" i="2" s="1"/>
  <c r="F107" i="2" s="1"/>
  <c r="D151" i="2"/>
  <c r="E151" i="2" s="1"/>
  <c r="F151" i="2" s="1"/>
  <c r="D180" i="2"/>
  <c r="E180" i="2" s="1"/>
  <c r="F180" i="2" s="1"/>
  <c r="D15" i="2"/>
  <c r="E15" i="2" s="1"/>
  <c r="F15" i="2" s="1"/>
  <c r="D4" i="2"/>
  <c r="E4" i="2" s="1"/>
  <c r="F4" i="2" s="1"/>
  <c r="D63" i="2"/>
  <c r="E63" i="2" s="1"/>
  <c r="F63" i="2" s="1"/>
  <c r="D162" i="2"/>
  <c r="E162" i="2" s="1"/>
  <c r="F162" i="2" s="1"/>
  <c r="D64" i="2"/>
  <c r="E64" i="2" s="1"/>
  <c r="F64" i="2" s="1"/>
  <c r="D185" i="2"/>
  <c r="E185" i="2" s="1"/>
  <c r="F185" i="2" s="1"/>
  <c r="D47" i="2"/>
  <c r="E47" i="2" s="1"/>
  <c r="F47" i="2" s="1"/>
  <c r="D174" i="2"/>
  <c r="E174" i="2" s="1"/>
  <c r="F174" i="2" s="1"/>
  <c r="D88" i="2"/>
  <c r="E88" i="2" s="1"/>
  <c r="F88" i="2" s="1"/>
  <c r="D2" i="2"/>
  <c r="E2" i="2" s="1"/>
  <c r="F2" i="2" s="1"/>
  <c r="D161" i="2"/>
  <c r="E161" i="2" s="1"/>
  <c r="F161" i="2" s="1"/>
  <c r="D43" i="2"/>
  <c r="E43" i="2" s="1"/>
  <c r="F43" i="2" s="1"/>
  <c r="D52" i="2"/>
  <c r="E52" i="2" s="1"/>
  <c r="F52" i="2" s="1"/>
  <c r="D61" i="2"/>
  <c r="E61" i="2" s="1"/>
  <c r="F61" i="2" s="1"/>
  <c r="D76" i="2"/>
  <c r="E76" i="2" s="1"/>
  <c r="F76" i="2" s="1"/>
  <c r="D91" i="2"/>
  <c r="E91" i="2" s="1"/>
  <c r="F91" i="2" s="1"/>
  <c r="D73" i="2"/>
  <c r="E73" i="2" s="1"/>
  <c r="F73" i="2" s="1"/>
  <c r="D9" i="2"/>
  <c r="E9" i="2" s="1"/>
  <c r="F9" i="2" s="1"/>
  <c r="D74" i="2"/>
  <c r="E74" i="2" s="1"/>
  <c r="F74" i="2" s="1"/>
  <c r="D121" i="2"/>
  <c r="E121" i="2" s="1"/>
  <c r="F121" i="2" s="1"/>
  <c r="D184" i="2"/>
  <c r="E184" i="2" s="1"/>
  <c r="F184" i="2" s="1"/>
  <c r="D78" i="2"/>
  <c r="E78" i="2" s="1"/>
  <c r="F78" i="2" s="1"/>
  <c r="D5" i="2"/>
  <c r="E5" i="2" s="1"/>
  <c r="F5" i="2" s="1"/>
  <c r="D109" i="2"/>
  <c r="E109" i="2" s="1"/>
  <c r="F109" i="2" s="1"/>
  <c r="D103" i="2"/>
  <c r="E103" i="2" s="1"/>
  <c r="F103" i="2" s="1"/>
  <c r="D48" i="2"/>
  <c r="E48" i="2" s="1"/>
  <c r="F48" i="2" s="1"/>
  <c r="D14" i="2"/>
  <c r="E14" i="2" s="1"/>
  <c r="F14" i="2" s="1"/>
  <c r="D146" i="2"/>
  <c r="E146" i="2" s="1"/>
  <c r="F146" i="2" s="1"/>
  <c r="D44" i="2"/>
  <c r="E44" i="2" s="1"/>
  <c r="F44" i="2" s="1"/>
  <c r="D165" i="2"/>
  <c r="E165" i="2" s="1"/>
  <c r="F165" i="2" s="1"/>
  <c r="D83" i="2"/>
  <c r="E83" i="2" s="1"/>
  <c r="F83" i="2" s="1"/>
  <c r="D71" i="2"/>
  <c r="E71" i="2" s="1"/>
  <c r="F71" i="2" s="1"/>
  <c r="D66" i="2"/>
  <c r="E66" i="2" s="1"/>
  <c r="F66" i="2" s="1"/>
  <c r="D175" i="2"/>
  <c r="E175" i="2" s="1"/>
  <c r="F175" i="2" s="1"/>
  <c r="D31" i="2"/>
  <c r="E31" i="2" s="1"/>
  <c r="F31" i="2" s="1"/>
  <c r="D13" i="2"/>
  <c r="E13" i="2" s="1"/>
  <c r="F13" i="2" s="1"/>
  <c r="D41" i="2"/>
  <c r="E41" i="2" s="1"/>
  <c r="F41" i="2" s="1"/>
  <c r="D110" i="2"/>
  <c r="E110" i="2" s="1"/>
  <c r="F110" i="2" s="1"/>
  <c r="D176" i="2"/>
  <c r="E176" i="2" s="1"/>
  <c r="F176" i="2" s="1"/>
  <c r="D182" i="2"/>
  <c r="E182" i="2" s="1"/>
  <c r="F182" i="2" s="1"/>
  <c r="D178" i="2"/>
  <c r="E178" i="2" s="1"/>
  <c r="F178" i="2" s="1"/>
  <c r="D84" i="2"/>
  <c r="E84" i="2" s="1"/>
  <c r="F84" i="2" s="1"/>
  <c r="D191" i="2"/>
  <c r="E191" i="2" s="1"/>
  <c r="F191" i="2" s="1"/>
  <c r="D115" i="2"/>
  <c r="E115" i="2" s="1"/>
  <c r="F115" i="2" s="1"/>
  <c r="D102" i="2"/>
  <c r="E102" i="2" s="1"/>
  <c r="F102" i="2" s="1"/>
  <c r="D82" i="2"/>
  <c r="E82" i="2" s="1"/>
  <c r="F82" i="2" s="1"/>
  <c r="D81" i="2"/>
  <c r="E81" i="2" s="1"/>
  <c r="F81" i="2" s="1"/>
  <c r="D126" i="2"/>
  <c r="E126" i="2" s="1"/>
  <c r="F126" i="2" s="1"/>
  <c r="D80" i="2"/>
  <c r="E80" i="2" s="1"/>
  <c r="F80" i="2" s="1"/>
  <c r="D53" i="2"/>
  <c r="E53" i="2" s="1"/>
  <c r="F53" i="2" s="1"/>
  <c r="D135" i="2"/>
  <c r="E135" i="2" s="1"/>
  <c r="F135" i="2" s="1"/>
  <c r="D6" i="2"/>
  <c r="E6" i="2" s="1"/>
  <c r="F6" i="2" s="1"/>
  <c r="D147" i="2"/>
  <c r="E147" i="2" s="1"/>
  <c r="F147" i="2" s="1"/>
  <c r="D150" i="2"/>
  <c r="E150" i="2" s="1"/>
  <c r="F150" i="2" s="1"/>
  <c r="D171" i="2"/>
  <c r="E171" i="2" s="1"/>
  <c r="F171" i="2" s="1"/>
  <c r="D59" i="2"/>
  <c r="E59" i="2" s="1"/>
  <c r="F59" i="2" s="1"/>
  <c r="D28" i="2"/>
  <c r="E28" i="2" s="1"/>
  <c r="F28" i="2" s="1"/>
  <c r="D42" i="2"/>
  <c r="E42" i="2" s="1"/>
  <c r="F42" i="2" s="1"/>
  <c r="D11" i="2"/>
  <c r="E11" i="2" s="1"/>
  <c r="F11" i="2" s="1"/>
  <c r="D92" i="2"/>
  <c r="E92" i="2" s="1"/>
  <c r="F92" i="2" s="1"/>
  <c r="D56" i="2"/>
  <c r="E56" i="2" s="1"/>
  <c r="F56" i="2" s="1"/>
  <c r="D100" i="2"/>
  <c r="E100" i="2" s="1"/>
  <c r="F100" i="2" s="1"/>
  <c r="D8" i="2"/>
  <c r="E8" i="2" s="1"/>
  <c r="F8" i="2" s="1"/>
  <c r="D193" i="2"/>
  <c r="E193" i="2" s="1"/>
  <c r="F193" i="2" s="1"/>
  <c r="D46" i="2"/>
  <c r="E46" i="2" s="1"/>
  <c r="F46" i="2" s="1"/>
  <c r="D177" i="2"/>
  <c r="E177" i="2" s="1"/>
  <c r="F177" i="2" s="1"/>
  <c r="D34" i="2"/>
  <c r="E34" i="2" s="1"/>
  <c r="F34" i="2" s="1"/>
  <c r="D143" i="2"/>
  <c r="E143" i="2" s="1"/>
  <c r="F143" i="2" s="1"/>
  <c r="D99" i="2"/>
  <c r="E99" i="2" s="1"/>
  <c r="F99" i="2" s="1"/>
  <c r="D17" i="2"/>
  <c r="E17" i="2" s="1"/>
  <c r="F17" i="2" s="1"/>
  <c r="D16" i="2"/>
  <c r="E16" i="2" s="1"/>
  <c r="F16" i="2" s="1"/>
  <c r="D164" i="2"/>
  <c r="E164" i="2" s="1"/>
  <c r="F164" i="2" s="1"/>
  <c r="D58" i="2"/>
  <c r="E58" i="2" s="1"/>
  <c r="F58" i="2" s="1"/>
  <c r="D50" i="2"/>
  <c r="E50" i="2" s="1"/>
  <c r="F50" i="2" s="1"/>
  <c r="D51" i="2"/>
  <c r="E51" i="2" s="1"/>
  <c r="F51" i="2" s="1"/>
  <c r="D145" i="2"/>
  <c r="E145" i="2" s="1"/>
  <c r="F145" i="2" s="1"/>
  <c r="D137" i="2"/>
  <c r="E137" i="2" s="1"/>
  <c r="F137" i="2" s="1"/>
  <c r="D25" i="2"/>
  <c r="E25" i="2" s="1"/>
  <c r="F25" i="2" s="1"/>
  <c r="D96" i="2"/>
  <c r="E96" i="2" s="1"/>
  <c r="F96" i="2" s="1"/>
  <c r="D33" i="2"/>
  <c r="E33" i="2" s="1"/>
  <c r="F33" i="2" s="1"/>
  <c r="D181" i="2"/>
  <c r="E181" i="2" s="1"/>
  <c r="F181" i="2" s="1"/>
  <c r="D169" i="2"/>
  <c r="E169" i="2" s="1"/>
  <c r="F169" i="2" s="1"/>
  <c r="D188" i="2"/>
  <c r="E188" i="2" s="1"/>
  <c r="F188" i="2" s="1"/>
  <c r="D77" i="2"/>
  <c r="E77" i="2" s="1"/>
  <c r="F77" i="2" s="1"/>
  <c r="D170" i="2"/>
  <c r="E170" i="2" s="1"/>
  <c r="F170" i="2" s="1"/>
  <c r="D55" i="2"/>
  <c r="E55" i="2" s="1"/>
  <c r="F55" i="2" s="1"/>
  <c r="D119" i="2"/>
  <c r="E119" i="2" s="1"/>
  <c r="F119" i="2" s="1"/>
  <c r="D70" i="2"/>
  <c r="E70" i="2" s="1"/>
  <c r="F70" i="2" s="1"/>
  <c r="D152" i="2"/>
  <c r="E152" i="2" s="1"/>
  <c r="F152" i="2" s="1"/>
  <c r="D124" i="2"/>
  <c r="E124" i="2" s="1"/>
  <c r="F124" i="2" s="1"/>
  <c r="D90" i="2"/>
  <c r="E90" i="2" s="1"/>
  <c r="F90" i="2" s="1"/>
  <c r="D49" i="2"/>
  <c r="E49" i="2" s="1"/>
  <c r="F49" i="2" s="1"/>
  <c r="D149" i="2"/>
  <c r="E149" i="2" s="1"/>
  <c r="F149" i="2" s="1"/>
  <c r="D87" i="2"/>
  <c r="E87" i="2" s="1"/>
  <c r="F87" i="2" s="1"/>
  <c r="D173" i="2"/>
  <c r="E173" i="2" s="1"/>
  <c r="F173" i="2" s="1"/>
  <c r="D130" i="2"/>
  <c r="E130" i="2" s="1"/>
  <c r="F130" i="2" s="1"/>
  <c r="D105" i="2"/>
  <c r="E105" i="2" s="1"/>
  <c r="F105" i="2" s="1"/>
  <c r="D67" i="2"/>
  <c r="E67" i="2" s="1"/>
  <c r="F67" i="2" s="1"/>
  <c r="D45" i="2"/>
  <c r="E45" i="2" s="1"/>
  <c r="F45" i="2" s="1"/>
  <c r="D134" i="2"/>
  <c r="E134" i="2" s="1"/>
  <c r="F134" i="2" s="1"/>
  <c r="D35" i="2"/>
  <c r="E35" i="2" s="1"/>
  <c r="F35" i="2" s="1"/>
  <c r="D10" i="2"/>
  <c r="E10" i="2" s="1"/>
  <c r="F10" i="2" s="1"/>
  <c r="D68" i="2"/>
  <c r="E68" i="2" s="1"/>
  <c r="F68" i="2" s="1"/>
  <c r="D118" i="2"/>
  <c r="E118" i="2" s="1"/>
  <c r="F118" i="2" s="1"/>
  <c r="D21" i="2"/>
  <c r="E21" i="2" s="1"/>
  <c r="F21" i="2" s="1"/>
  <c r="D72" i="2"/>
  <c r="E72" i="2" s="1"/>
  <c r="F72" i="2" s="1"/>
  <c r="D156" i="2"/>
  <c r="E156" i="2" s="1"/>
  <c r="F156" i="2" s="1"/>
  <c r="D69" i="2"/>
  <c r="E69" i="2" s="1"/>
  <c r="F69" i="2" s="1"/>
  <c r="D39" i="2"/>
  <c r="E39" i="2" s="1"/>
  <c r="F39" i="2" s="1"/>
  <c r="D89" i="2"/>
  <c r="E89" i="2" s="1"/>
  <c r="F89" i="2" s="1"/>
  <c r="D62" i="2"/>
  <c r="E62" i="2" s="1"/>
  <c r="F62" i="2" s="1"/>
  <c r="D113" i="2"/>
  <c r="E113" i="2" s="1"/>
  <c r="F113" i="2" s="1"/>
  <c r="D18" i="2"/>
  <c r="E18" i="2" s="1"/>
  <c r="F18" i="2" s="1"/>
  <c r="D101" i="2"/>
  <c r="E101" i="2" s="1"/>
  <c r="F101" i="2" s="1"/>
  <c r="D26" i="2"/>
  <c r="E26" i="2" s="1"/>
  <c r="F26" i="2" s="1"/>
  <c r="D98" i="2"/>
  <c r="E98" i="2" s="1"/>
  <c r="F98" i="2" s="1"/>
  <c r="D40" i="2"/>
  <c r="E40" i="2" s="1"/>
  <c r="F40" i="2" s="1"/>
  <c r="D95" i="2"/>
  <c r="E95" i="2" s="1"/>
  <c r="F95" i="2" s="1"/>
  <c r="D158" i="2"/>
  <c r="E158" i="2" s="1"/>
  <c r="F158" i="2" s="1"/>
  <c r="D23" i="2"/>
  <c r="E23" i="2" s="1"/>
  <c r="F23" i="2" s="1"/>
  <c r="D75" i="2"/>
  <c r="E75" i="2" s="1"/>
  <c r="F75" i="2" s="1"/>
  <c r="D154" i="2"/>
  <c r="E154" i="2" s="1"/>
  <c r="F154" i="2" s="1"/>
  <c r="D128" i="2"/>
  <c r="E128" i="2" s="1"/>
  <c r="F128" i="2" s="1"/>
  <c r="D7" i="2"/>
  <c r="E7" i="2" s="1"/>
  <c r="F7" i="2" s="1"/>
  <c r="D111" i="2"/>
  <c r="E111" i="2" s="1"/>
  <c r="F111" i="2" s="1"/>
  <c r="D144" i="2"/>
  <c r="E144" i="2" s="1"/>
  <c r="F144" i="2" s="1"/>
  <c r="D166" i="2"/>
  <c r="E166" i="2" s="1"/>
  <c r="F166" i="2" s="1"/>
  <c r="D129" i="2"/>
  <c r="E129" i="2" s="1"/>
  <c r="F129" i="2" s="1"/>
  <c r="D187" i="2"/>
  <c r="E187" i="2" s="1"/>
  <c r="F187" i="2" s="1"/>
  <c r="D172" i="2"/>
  <c r="E172" i="2" s="1"/>
  <c r="F172" i="2" s="1"/>
  <c r="D136" i="2"/>
  <c r="E136" i="2" s="1"/>
  <c r="F136" i="2" s="1"/>
  <c r="D94" i="2"/>
  <c r="E94" i="2" s="1"/>
  <c r="F94" i="2" s="1"/>
  <c r="D65" i="2"/>
  <c r="E65" i="2" s="1"/>
  <c r="F65" i="2" s="1"/>
  <c r="D12" i="2"/>
  <c r="E12" i="2" s="1"/>
  <c r="F12" i="2" s="1"/>
  <c r="D186" i="2"/>
  <c r="E186" i="2" s="1"/>
  <c r="F186" i="2" s="1"/>
  <c r="D159" i="2"/>
  <c r="E159" i="2" s="1"/>
  <c r="F159" i="2" s="1"/>
  <c r="D24" i="2"/>
  <c r="E24" i="2" s="1"/>
  <c r="F24" i="2" s="1"/>
  <c r="D163" i="2"/>
  <c r="E163" i="2" s="1"/>
  <c r="F163" i="2" s="1"/>
  <c r="D168" i="2"/>
  <c r="E168" i="2" s="1"/>
  <c r="F168" i="2" s="1"/>
  <c r="D85" i="2"/>
  <c r="E85" i="2" s="1"/>
  <c r="F85" i="2" s="1"/>
  <c r="D116" i="2"/>
  <c r="E116" i="2" s="1"/>
  <c r="F116" i="2" s="1"/>
  <c r="D139" i="2"/>
  <c r="E139" i="2" s="1"/>
  <c r="F139" i="2" s="1"/>
  <c r="D30" i="2"/>
  <c r="E30" i="2" s="1"/>
  <c r="F30" i="2" s="1"/>
  <c r="D127" i="2"/>
  <c r="E127" i="2" s="1"/>
  <c r="F127" i="2" s="1"/>
  <c r="D167" i="2"/>
  <c r="E167" i="2" s="1"/>
  <c r="F167" i="2" s="1"/>
  <c r="D155" i="2"/>
  <c r="E155" i="2" s="1"/>
  <c r="F155" i="2" s="1"/>
  <c r="D131" i="2"/>
  <c r="E131" i="2" s="1"/>
  <c r="F131" i="2" s="1"/>
  <c r="D93" i="2"/>
  <c r="E93" i="2" s="1"/>
  <c r="F93" i="2" s="1"/>
  <c r="D125" i="2"/>
  <c r="E125" i="2" s="1"/>
  <c r="F125" i="2" s="1"/>
  <c r="D189" i="2"/>
  <c r="E189" i="2" s="1"/>
  <c r="F189" i="2" s="1"/>
  <c r="D112" i="2"/>
  <c r="E112" i="2" s="1"/>
  <c r="F112" i="2" s="1"/>
  <c r="D36" i="2"/>
  <c r="E36" i="2" s="1"/>
  <c r="F36" i="2" s="1"/>
  <c r="D57" i="2"/>
  <c r="E57" i="2" s="1"/>
  <c r="F57" i="2" s="1"/>
  <c r="D120" i="2"/>
  <c r="E120" i="2" s="1"/>
  <c r="F120" i="2" s="1"/>
  <c r="D148" i="2"/>
  <c r="E148" i="2" s="1"/>
  <c r="F148" i="2" s="1"/>
  <c r="D123" i="2"/>
  <c r="E123" i="2" s="1"/>
  <c r="F123" i="2" s="1"/>
  <c r="D106" i="2"/>
  <c r="E106" i="2" s="1"/>
  <c r="F106" i="2" s="1"/>
  <c r="D86" i="2"/>
  <c r="E86" i="2" s="1"/>
  <c r="F86" i="2" s="1"/>
  <c r="D54" i="2"/>
  <c r="E54" i="2" s="1"/>
  <c r="F54" i="2" s="1"/>
  <c r="D38" i="2"/>
  <c r="E38" i="2" s="1"/>
  <c r="F38" i="2" s="1"/>
  <c r="D19" i="2"/>
  <c r="E19" i="2" s="1"/>
  <c r="F19" i="2" s="1"/>
  <c r="D20" i="2"/>
  <c r="E20" i="2" s="1"/>
  <c r="F20" i="2" s="1"/>
  <c r="D141" i="2"/>
  <c r="E141" i="2" s="1"/>
  <c r="F141" i="2" s="1"/>
  <c r="D104" i="2"/>
  <c r="E104" i="2" s="1"/>
  <c r="F104" i="2" s="1"/>
  <c r="D133" i="2"/>
  <c r="E133" i="2" s="1"/>
  <c r="F133" i="2" s="1"/>
  <c r="D60" i="2"/>
  <c r="E60" i="2" s="1"/>
  <c r="F60" i="2" s="1"/>
  <c r="D22" i="2"/>
  <c r="E22" i="2" s="1"/>
  <c r="F22" i="2" s="1"/>
  <c r="D27" i="2"/>
  <c r="E27" i="2" s="1"/>
  <c r="F27" i="2" s="1"/>
  <c r="D160" i="2"/>
  <c r="E160" i="2" s="1"/>
  <c r="F160" i="2" s="1"/>
  <c r="D108" i="2"/>
  <c r="E108" i="2" s="1"/>
  <c r="F108" i="2" s="1"/>
  <c r="D132" i="2"/>
  <c r="E132" i="2" s="1"/>
  <c r="F132" i="2" s="1"/>
  <c r="D32" i="2"/>
  <c r="E32" i="2" s="1"/>
  <c r="F32" i="2" s="1"/>
  <c r="D117" i="2"/>
  <c r="E117" i="2" s="1"/>
  <c r="F117" i="2" s="1"/>
  <c r="D153" i="2"/>
  <c r="E153" i="2" s="1"/>
  <c r="F153" i="2" s="1"/>
  <c r="D114" i="2"/>
  <c r="E114" i="2" s="1"/>
  <c r="F114" i="2" s="1"/>
  <c r="D97" i="2"/>
  <c r="E97" i="2" s="1"/>
  <c r="F97" i="2" s="1"/>
  <c r="D183" i="2"/>
  <c r="E183" i="2" s="1"/>
  <c r="F183" i="2" s="1"/>
  <c r="D179" i="2"/>
  <c r="E179" i="2" s="1"/>
  <c r="F179" i="2" s="1"/>
  <c r="D122" i="2"/>
  <c r="E122" i="2" s="1"/>
  <c r="F122" i="2" s="1"/>
  <c r="D37" i="2"/>
  <c r="E37" i="2" s="1"/>
  <c r="F37" i="2" s="1"/>
  <c r="D29" i="2"/>
  <c r="E29" i="2" s="1"/>
  <c r="F29" i="2" s="1"/>
  <c r="D192" i="2"/>
  <c r="E192" i="2" s="1"/>
  <c r="F192" i="2" s="1"/>
  <c r="G140" i="2"/>
  <c r="G79" i="2"/>
  <c r="G157" i="2"/>
  <c r="G138" i="2"/>
  <c r="G142" i="2"/>
  <c r="G190" i="2"/>
  <c r="G3" i="2"/>
  <c r="G107" i="2"/>
  <c r="G151" i="2"/>
  <c r="G180" i="2"/>
  <c r="G15" i="2"/>
  <c r="G4" i="2"/>
  <c r="G63" i="2"/>
  <c r="G162" i="2"/>
  <c r="G64" i="2"/>
  <c r="G185" i="2"/>
  <c r="G47" i="2"/>
  <c r="G174" i="2"/>
  <c r="G88" i="2"/>
  <c r="G2" i="2"/>
  <c r="G161" i="2"/>
  <c r="G43" i="2"/>
  <c r="G52" i="2"/>
  <c r="G61" i="2"/>
  <c r="G76" i="2"/>
  <c r="G91" i="2"/>
  <c r="G73" i="2"/>
  <c r="G9" i="2"/>
  <c r="G74" i="2"/>
  <c r="G121" i="2"/>
  <c r="G184" i="2"/>
  <c r="G78" i="2"/>
  <c r="G5" i="2"/>
  <c r="G109" i="2"/>
  <c r="G103" i="2"/>
  <c r="G48" i="2"/>
  <c r="G14" i="2"/>
  <c r="G146" i="2"/>
  <c r="G44" i="2"/>
  <c r="G165" i="2"/>
  <c r="G83" i="2"/>
  <c r="G71" i="2"/>
  <c r="G66" i="2"/>
  <c r="G175" i="2"/>
  <c r="G31" i="2"/>
  <c r="G13" i="2"/>
  <c r="G41" i="2"/>
  <c r="G110" i="2"/>
  <c r="G176" i="2"/>
  <c r="G182" i="2"/>
  <c r="G178" i="2"/>
  <c r="G84" i="2"/>
  <c r="G191" i="2"/>
  <c r="G115" i="2"/>
  <c r="G102" i="2"/>
  <c r="G82" i="2"/>
  <c r="G81" i="2"/>
  <c r="G126" i="2"/>
  <c r="G80" i="2"/>
  <c r="G53" i="2"/>
  <c r="G135" i="2"/>
  <c r="G6" i="2"/>
  <c r="G147" i="2"/>
  <c r="G150" i="2"/>
  <c r="G171" i="2"/>
  <c r="G59" i="2"/>
  <c r="G28" i="2"/>
  <c r="G42" i="2"/>
  <c r="G11" i="2"/>
  <c r="G92" i="2"/>
  <c r="G56" i="2"/>
  <c r="G100" i="2"/>
  <c r="G8" i="2"/>
  <c r="G46" i="2"/>
  <c r="G177" i="2"/>
  <c r="G34" i="2"/>
  <c r="G143" i="2"/>
  <c r="G99" i="2"/>
  <c r="G17" i="2"/>
  <c r="G16" i="2"/>
  <c r="G164" i="2"/>
  <c r="G58" i="2"/>
  <c r="G50" i="2"/>
  <c r="G51" i="2"/>
  <c r="G145" i="2"/>
  <c r="G137" i="2"/>
  <c r="G25" i="2"/>
  <c r="G96" i="2"/>
  <c r="G33" i="2"/>
  <c r="G181" i="2"/>
  <c r="G169" i="2"/>
  <c r="G188" i="2"/>
  <c r="G77" i="2"/>
  <c r="G170" i="2"/>
  <c r="G55" i="2"/>
  <c r="G119" i="2"/>
  <c r="G70" i="2"/>
  <c r="G152" i="2"/>
  <c r="G124" i="2"/>
  <c r="G90" i="2"/>
  <c r="G49" i="2"/>
  <c r="G149" i="2"/>
  <c r="G87" i="2"/>
  <c r="G173" i="2"/>
  <c r="G130" i="2"/>
  <c r="G105" i="2"/>
  <c r="G67" i="2"/>
  <c r="G45" i="2"/>
  <c r="G134" i="2"/>
  <c r="G35" i="2"/>
  <c r="G10" i="2"/>
  <c r="G68" i="2"/>
  <c r="G118" i="2"/>
  <c r="G21" i="2"/>
  <c r="G72" i="2"/>
  <c r="G156" i="2"/>
  <c r="G69" i="2"/>
  <c r="G39" i="2"/>
  <c r="G89" i="2"/>
  <c r="G62" i="2"/>
  <c r="G113" i="2"/>
  <c r="G18" i="2"/>
  <c r="G101" i="2"/>
  <c r="G26" i="2"/>
  <c r="G98" i="2"/>
  <c r="G40" i="2"/>
  <c r="G95" i="2"/>
  <c r="G158" i="2"/>
  <c r="G23" i="2"/>
  <c r="G75" i="2"/>
  <c r="G154" i="2"/>
  <c r="G128" i="2"/>
  <c r="G7" i="2"/>
  <c r="G111" i="2"/>
  <c r="G144" i="2"/>
  <c r="G166" i="2"/>
  <c r="G129" i="2"/>
  <c r="G187" i="2"/>
  <c r="G172" i="2"/>
  <c r="G136" i="2"/>
  <c r="G94" i="2"/>
  <c r="G65" i="2"/>
  <c r="G12" i="2"/>
  <c r="G186" i="2"/>
  <c r="G159" i="2"/>
  <c r="G24" i="2"/>
  <c r="G163" i="2"/>
  <c r="G168" i="2"/>
  <c r="G85" i="2"/>
  <c r="G116" i="2"/>
  <c r="G139" i="2"/>
  <c r="G30" i="2"/>
  <c r="G127" i="2"/>
  <c r="G167" i="2"/>
  <c r="G155" i="2"/>
  <c r="G131" i="2"/>
  <c r="G93" i="2"/>
  <c r="G125" i="2"/>
  <c r="G189" i="2"/>
  <c r="G112" i="2"/>
  <c r="G36" i="2"/>
  <c r="G57" i="2"/>
  <c r="G120" i="2"/>
  <c r="G148" i="2"/>
  <c r="G123" i="2"/>
  <c r="G106" i="2"/>
  <c r="G86" i="2"/>
  <c r="G54" i="2"/>
  <c r="G38" i="2"/>
  <c r="G19" i="2"/>
  <c r="G20" i="2"/>
  <c r="G141" i="2"/>
  <c r="G104" i="2"/>
  <c r="G133" i="2"/>
  <c r="G60" i="2"/>
  <c r="G22" i="2"/>
  <c r="G27" i="2"/>
  <c r="G160" i="2"/>
  <c r="G108" i="2"/>
  <c r="G132" i="2"/>
  <c r="G32" i="2"/>
  <c r="G117" i="2"/>
  <c r="G153" i="2"/>
  <c r="G114" i="2"/>
  <c r="G97" i="2"/>
  <c r="G183" i="2"/>
  <c r="G179" i="2"/>
  <c r="G122" i="2"/>
  <c r="G37" i="2"/>
  <c r="G29" i="2"/>
  <c r="G192" i="2"/>
  <c r="D2" i="1"/>
  <c r="E2" i="1"/>
  <c r="D3" i="1"/>
  <c r="E3" i="1" s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E169" i="1" s="1"/>
  <c r="D170" i="1"/>
  <c r="E170" i="1" s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D192" i="1"/>
  <c r="E192" i="1" s="1"/>
</calcChain>
</file>

<file path=xl/sharedStrings.xml><?xml version="1.0" encoding="utf-8"?>
<sst xmlns="http://schemas.openxmlformats.org/spreadsheetml/2006/main" count="1981" uniqueCount="1051">
  <si>
    <t>id</t>
  </si>
  <si>
    <t>gmailMessageId</t>
  </si>
  <si>
    <t>emailDate</t>
  </si>
  <si>
    <t>caloriesBurned</t>
  </si>
  <si>
    <t>splatPoints</t>
  </si>
  <si>
    <t>avgHeartRate</t>
  </si>
  <si>
    <t>peakHeartRate</t>
  </si>
  <si>
    <t>steps</t>
  </si>
  <si>
    <t>treadmillDistance</t>
  </si>
  <si>
    <t>treadmillTime</t>
  </si>
  <si>
    <t>rowingDistance</t>
  </si>
  <si>
    <t>rowingTime</t>
  </si>
  <si>
    <t>activeMinutes</t>
  </si>
  <si>
    <t>minutesInGrayZone</t>
  </si>
  <si>
    <t>minutesInBlueZone</t>
  </si>
  <si>
    <t>minutesInGreenZone</t>
  </si>
  <si>
    <t>minutesInOrangeZone</t>
  </si>
  <si>
    <t>minutesInRedZone</t>
  </si>
  <si>
    <t>createdAt</t>
  </si>
  <si>
    <t>cmkhndhip0004bz34gntkb7c1</t>
  </si>
  <si>
    <t>19bc21199351cd13</t>
  </si>
  <si>
    <t>cmkhndhka0006bz34pzaxldii</t>
  </si>
  <si>
    <t>19bb7c61c6bf1be9</t>
  </si>
  <si>
    <t>cmkhndhlh0008bz342gjyj81h</t>
  </si>
  <si>
    <t>19badf173d9e5876</t>
  </si>
  <si>
    <t>cmkhndhmc000abz34156jk9v3</t>
  </si>
  <si>
    <t>19ba32bde73e7e3f</t>
  </si>
  <si>
    <t>cmkhndhn6000cbz342u18m984</t>
  </si>
  <si>
    <t>19b93babec5200ed</t>
  </si>
  <si>
    <t>cmkhndho6000ebz34maptsbch</t>
  </si>
  <si>
    <t>19b89e3ccfa33cda</t>
  </si>
  <si>
    <t>cmkhndhow000gbz34eyih0jl1</t>
  </si>
  <si>
    <t>19b7fa63209f79af</t>
  </si>
  <si>
    <t>cmkhndhq2000ibz34fnmfog0o</t>
  </si>
  <si>
    <t>19b6f726eb97d4ad</t>
  </si>
  <si>
    <t>cmkhndhqs000kbz34a25ey9fn</t>
  </si>
  <si>
    <t>19b65958d6737f33</t>
  </si>
  <si>
    <t>cmkhndhrt000mbz34mx4rrxmq</t>
  </si>
  <si>
    <t>19b41cc0c8d35d49</t>
  </si>
  <si>
    <t>cmkhndhsz000obz34nscjx4v6</t>
  </si>
  <si>
    <t>19b3707b2d076581</t>
  </si>
  <si>
    <t>cmkhndhu5000qbz34wguhgu3x</t>
  </si>
  <si>
    <t>19b2cbee9a541b76</t>
  </si>
  <si>
    <t>cmkhndhv0000sbz34g4fn3tfe</t>
  </si>
  <si>
    <t>19b1dbfb539f58e8</t>
  </si>
  <si>
    <t>cmkhndhvs000ubz341fe3qjum</t>
  </si>
  <si>
    <t>19b12fab8814c301</t>
  </si>
  <si>
    <t>cmkhndhwk000wbz34e0d6tgb2</t>
  </si>
  <si>
    <t>19b08b2598afbc95</t>
  </si>
  <si>
    <t>cmkhndhx8000ybz34wuwc88zw</t>
  </si>
  <si>
    <t>19ae4a14217d206a</t>
  </si>
  <si>
    <t>cmkhndhxy0010bz34t5n7x18h</t>
  </si>
  <si>
    <t>19ada54c47a3dced</t>
  </si>
  <si>
    <t>cmkhndhyp0012bz34tmu117lf</t>
  </si>
  <si>
    <t>19ab648053234c9a</t>
  </si>
  <si>
    <t>cmkhndhzu0014bz341wp31c4a</t>
  </si>
  <si>
    <t>19aa6d98dff82c33</t>
  </si>
  <si>
    <t>cmkhndi0x0016bz346sv49zz2</t>
  </si>
  <si>
    <t>19a9c874a78959d9</t>
  </si>
  <si>
    <t>cmkhndi1t0018bz34vuuhcvnn</t>
  </si>
  <si>
    <t>19a92401d426a01f</t>
  </si>
  <si>
    <t>cmkhndi2h001abz345ov7h0wr</t>
  </si>
  <si>
    <t>19a82c871a0ef99c</t>
  </si>
  <si>
    <t>cmkhndi36001cbz34tpdjhvqo</t>
  </si>
  <si>
    <t>19a6e2f007cd0653</t>
  </si>
  <si>
    <t>cmkhndi3v001ebz34t3i0ivi8</t>
  </si>
  <si>
    <t>19a645b2f08f0732</t>
  </si>
  <si>
    <t>cmkhndi4n001gbz34aaii5xse</t>
  </si>
  <si>
    <t>19a5473cc9f97eee</t>
  </si>
  <si>
    <t>cmkhndi5s001ibz34jdt5wddk</t>
  </si>
  <si>
    <t>19a4a22b4a9efec3</t>
  </si>
  <si>
    <t>cmkhndi6o001kbz34zs6um8s1</t>
  </si>
  <si>
    <t>19a3a787fe91572d</t>
  </si>
  <si>
    <t>cmkhndi84001mbz34cpfnfju8</t>
  </si>
  <si>
    <t>19a2ff1ad6d0da92</t>
  </si>
  <si>
    <t>cmkhndi94001obz34vwm78wqh</t>
  </si>
  <si>
    <t>19a167091bf013e0</t>
  </si>
  <si>
    <t>cmkhndiak001qbz34lx9s25qf</t>
  </si>
  <si>
    <t>19a05d3f5d1e21d6</t>
  </si>
  <si>
    <t>cmkhndibm001sbz34oqv6ul9m</t>
  </si>
  <si>
    <t>199e2ec5fa1a3a49</t>
  </si>
  <si>
    <t>cmkhndich001ubz34ge4fx3ip</t>
  </si>
  <si>
    <t>199ce53453dd6d42</t>
  </si>
  <si>
    <t>cmkhndid5001wbz349thcnhl2</t>
  </si>
  <si>
    <t>199c3cc2e4a7a5f2</t>
  </si>
  <si>
    <t>cmkhndidq001ybz34bqajhmmi</t>
  </si>
  <si>
    <t>1999fbe90c3e3755</t>
  </si>
  <si>
    <t>cmkhndie90020bz34qngzzo7h</t>
  </si>
  <si>
    <t>199956719ae5894c</t>
  </si>
  <si>
    <t>cmkhndifa0022bz34sm78dcyi</t>
  </si>
  <si>
    <t>199867a053a64282</t>
  </si>
  <si>
    <t>cmkhndigc0024bz34a5qzak42</t>
  </si>
  <si>
    <t>19980d8e056b1860</t>
  </si>
  <si>
    <t>cmkhndih20026bz341tf1iovw</t>
  </si>
  <si>
    <t>1996d35ca04d7b60</t>
  </si>
  <si>
    <t>cmkhndii40028bz345lse1hb4</t>
  </si>
  <si>
    <t>1996231f678ef83d</t>
  </si>
  <si>
    <t>cmkhndiix002abz34popn6kwd</t>
  </si>
  <si>
    <t>1994d93f78a4095c</t>
  </si>
  <si>
    <t>cmkhndijq002cbz34rseorzuq</t>
  </si>
  <si>
    <t>1993e20e151cf028</t>
  </si>
  <si>
    <t>cmkhndikv002ebz34aq0fswia</t>
  </si>
  <si>
    <t>19929877bd5f2c06</t>
  </si>
  <si>
    <t>cmkhndill002gbz34nwys8su2</t>
  </si>
  <si>
    <t>1991e682dbb5b100</t>
  </si>
  <si>
    <t>cmkhndimc002ibz34p30nc479</t>
  </si>
  <si>
    <t>198e172fc29d6088</t>
  </si>
  <si>
    <t>cmkhndin3002kbz34k78sjnex</t>
  </si>
  <si>
    <t>198d23b7834698d1</t>
  </si>
  <si>
    <t>cmkhndiny002mbz34ktjgr4tb</t>
  </si>
  <si>
    <t>198a88cfbfe69e75</t>
  </si>
  <si>
    <t>cmkhndip0002obz34b6garj5s</t>
  </si>
  <si>
    <t>19899546423d1a5a</t>
  </si>
  <si>
    <t>cmkhndipz002qbz34apqf8u2x</t>
  </si>
  <si>
    <t>1988a2276cc12676</t>
  </si>
  <si>
    <t>cmkhndiqu002sbz34zz1lpn12</t>
  </si>
  <si>
    <t>1987f5a8f81d2583</t>
  </si>
  <si>
    <t>cmkhndirb002ubz34c3qyo5if</t>
  </si>
  <si>
    <t>1987508c283fe336</t>
  </si>
  <si>
    <t>cmkhndis4002wbz34sr51jlaf</t>
  </si>
  <si>
    <t>1986615e7afc3d1d</t>
  </si>
  <si>
    <t>cmkhndiss002ybz344dq6079e</t>
  </si>
  <si>
    <t>1985139efe3f3979</t>
  </si>
  <si>
    <t>cmkhnditj0030bz34rg2k6749</t>
  </si>
  <si>
    <t>1981dfced87bfcbf</t>
  </si>
  <si>
    <t>cmkhnditz0032bz34d6uc1s4q</t>
  </si>
  <si>
    <t>19808dd33abcd10c</t>
  </si>
  <si>
    <t>cmkhndiur0034bz34y3lc6iaj</t>
  </si>
  <si>
    <t>197f9b03fa20661e</t>
  </si>
  <si>
    <t>cmkhndivj0036bz341f7js0yv</t>
  </si>
  <si>
    <t>197e556e9f5108a5</t>
  </si>
  <si>
    <t>cmkhndiw70038bz34a2dkqfv5</t>
  </si>
  <si>
    <t>197d041f8e443a71</t>
  </si>
  <si>
    <t>cmkhndiww003abz34kl5zazrk</t>
  </si>
  <si>
    <t>197c14a652601fa0</t>
  </si>
  <si>
    <t>cmkhndixv003cbz34h0bbdp1f</t>
  </si>
  <si>
    <t>197b1d757d83aa6f</t>
  </si>
  <si>
    <t>cmkhndiyz003ebz34anc0wq8r</t>
  </si>
  <si>
    <t>18b427e6bcfa25da</t>
  </si>
  <si>
    <t>cmkhndizy003gbz34w0y2ju9x</t>
  </si>
  <si>
    <t>18a83e44a25d3144</t>
  </si>
  <si>
    <t>cmkhndj0i003ibz34i8xengeu</t>
  </si>
  <si>
    <t>18a178c24909dab7</t>
  </si>
  <si>
    <t>cmkhndj19003kbz34l08c4pt9</t>
  </si>
  <si>
    <t>18a0da8b4655a7e5</t>
  </si>
  <si>
    <t>cmkhndj1p003mbz34cnh1btha</t>
  </si>
  <si>
    <t>189c04091859c923</t>
  </si>
  <si>
    <t>cmkhndj2h003obz34d09idyrm</t>
  </si>
  <si>
    <t>1896fff9a8adafc3</t>
  </si>
  <si>
    <t>cmkhndj3n003sbz34mqgz8wrb</t>
  </si>
  <si>
    <t>1893f739d0713ac4</t>
  </si>
  <si>
    <t>cmkhndj4q003ubz346h8kqto3</t>
  </si>
  <si>
    <t>188f896c2ab056d4</t>
  </si>
  <si>
    <t>cmkhndj5x003wbz34qlcsc88s</t>
  </si>
  <si>
    <t>188ce7bb9653e7e4</t>
  </si>
  <si>
    <t>cmkhndj6r003ybz34r3umau0n</t>
  </si>
  <si>
    <t>188bffe969ac63d8</t>
  </si>
  <si>
    <t>cmkhndj7i0040bz344huir00x</t>
  </si>
  <si>
    <t>188b5a3bfc0fa2fd</t>
  </si>
  <si>
    <t>cmkhndj860042bz34v9a2ediv</t>
  </si>
  <si>
    <t>18896be04f96feba</t>
  </si>
  <si>
    <t>cmkhndj8r0044bz34hyy2koxz</t>
  </si>
  <si>
    <t>1882aa880bf66e4c</t>
  </si>
  <si>
    <t>cmkhndj9o0046bz3414q05oe2</t>
  </si>
  <si>
    <t>187d8325eca3ec72</t>
  </si>
  <si>
    <t>cmkhndjam0048bz34rckosbkw</t>
  </si>
  <si>
    <t>187ba4c2e57b4ddb</t>
  </si>
  <si>
    <t>cmkhndjbj004abz34qihi14e0</t>
  </si>
  <si>
    <t>1879f9a5ef5f90c9</t>
  </si>
  <si>
    <t>cmkhndjcd004cbz34pz6knoyp</t>
  </si>
  <si>
    <t>187954d1b72e16be</t>
  </si>
  <si>
    <t>cmkhndjd1004ebz34h6ax37mi</t>
  </si>
  <si>
    <t>1875780f7626e0cc</t>
  </si>
  <si>
    <t>cmkhndjdm004gbz341ikmphor</t>
  </si>
  <si>
    <t>18733748afb76310</t>
  </si>
  <si>
    <t>cmkhndjee004ibz34768wur6q</t>
  </si>
  <si>
    <t>187051d3453343b7</t>
  </si>
  <si>
    <t>cmkhndjf8004kbz34ki1jhlpk</t>
  </si>
  <si>
    <t>186dbe84c897c233</t>
  </si>
  <si>
    <t>cmkhndjg0004mbz34dbe18uyd</t>
  </si>
  <si>
    <t>186c252860c3f219</t>
  </si>
  <si>
    <t>cmkhndjgq004obz344bya74v6</t>
  </si>
  <si>
    <t>186a8a22cf924f02</t>
  </si>
  <si>
    <t>cmkhndjha004qbz34a60hqaqs</t>
  </si>
  <si>
    <t>186991ef472ae457</t>
  </si>
  <si>
    <t>cmkhndjid004sbz34u6l3r6xc</t>
  </si>
  <si>
    <t>1867f6e403b87ffa</t>
  </si>
  <si>
    <t>cmkhndjjg004ubz344pdpjrqr</t>
  </si>
  <si>
    <t>1866eb057be36c7e</t>
  </si>
  <si>
    <t>cmkhndjkb004wbz34serob02c</t>
  </si>
  <si>
    <t>1865b605ba07e7ce</t>
  </si>
  <si>
    <t>cmkhndjlf004ybz345svvuaqe</t>
  </si>
  <si>
    <t>1864beef425f78aa</t>
  </si>
  <si>
    <t>cmkhndjmh0050bz34ymsi4kzh</t>
  </si>
  <si>
    <t>1862cf975d3b4e40</t>
  </si>
  <si>
    <t>cmkhndjnm0052bz34l472a0fm</t>
  </si>
  <si>
    <t>18603d43e8e89548</t>
  </si>
  <si>
    <t>cmkhndjor0054bz34uhgpb245</t>
  </si>
  <si>
    <t>185ea0821523a0bb</t>
  </si>
  <si>
    <t>cmkhndjpt0056bz34jl3s5g6l</t>
  </si>
  <si>
    <t>185c607e7775ff85</t>
  </si>
  <si>
    <t>cmkhndjql0058bz347mob7jsp</t>
  </si>
  <si>
    <t>185a1fc955ec91ed</t>
  </si>
  <si>
    <t>cmkhndjrb005abz34zylno8p3</t>
  </si>
  <si>
    <t>18583160ae0534a3</t>
  </si>
  <si>
    <t>cmkhndjs1005cbz348jgf3ksv</t>
  </si>
  <si>
    <t>18578c889111bb50</t>
  </si>
  <si>
    <t>cmkhndjt4005ebz34j4n0ewg5</t>
  </si>
  <si>
    <t>18573a26b7123936</t>
  </si>
  <si>
    <t>cmkhndju1005gbz34gvy1kmft</t>
  </si>
  <si>
    <t>1855e9aa6da983c7</t>
  </si>
  <si>
    <t>cmkhndjv3005ibz34ldxepbqe</t>
  </si>
  <si>
    <t>1851681a71ae3681</t>
  </si>
  <si>
    <t>cmkhndjvv005kbz34b3b96ref</t>
  </si>
  <si>
    <t>18511c932c9867e6</t>
  </si>
  <si>
    <t>cmkhndjwq005mbz34u7aq4qe0</t>
  </si>
  <si>
    <t>185077c77628f8c4</t>
  </si>
  <si>
    <t>cmkhndjxo005obz3478spovkr</t>
  </si>
  <si>
    <t>184e3701ad879f2a</t>
  </si>
  <si>
    <t>cmkhndjym005qbz34g09nc6vy</t>
  </si>
  <si>
    <t>184cfc9001a4055a</t>
  </si>
  <si>
    <t>cmkhndjzr005sbz3497of030r</t>
  </si>
  <si>
    <t>184c57c4e89290ba</t>
  </si>
  <si>
    <t>cmkhndk0x005ubz34s98nixyb</t>
  </si>
  <si>
    <t>1847d5eaf06b038d</t>
  </si>
  <si>
    <t>cmkhndk1r005wbz34upz3uikq</t>
  </si>
  <si>
    <t>18463a3890531c44</t>
  </si>
  <si>
    <t>cmkhndk2h005ybz342q7lag0v</t>
  </si>
  <si>
    <t>1844393f21ec457c</t>
  </si>
  <si>
    <t>cmkhndk3g0060bz34lk3ikldd</t>
  </si>
  <si>
    <t>183fb7be477aaab9</t>
  </si>
  <si>
    <t>cmkhndk4g0062bz347h9kpa4a</t>
  </si>
  <si>
    <t>183d331c5f83f058</t>
  </si>
  <si>
    <t>cmkhndk5q0064bz344qybi24t</t>
  </si>
  <si>
    <t>183ae3d6c70c0a33</t>
  </si>
  <si>
    <t>cmkhndk6l0066bz34xc5b9lj9</t>
  </si>
  <si>
    <t>1838636adafc0af0</t>
  </si>
  <si>
    <t>cmkhndk780068bz34gizhg7z9</t>
  </si>
  <si>
    <t>1837bec08966d253</t>
  </si>
  <si>
    <t>cmkhndk7x006abz348chyat0b</t>
  </si>
  <si>
    <t>183622ae166bfe6f</t>
  </si>
  <si>
    <t>cmkhndk8h006cbz34i9z4iuby</t>
  </si>
  <si>
    <t>18357dd916e9ac01</t>
  </si>
  <si>
    <t>cmkhndk93006ebz34mos9tjyt</t>
  </si>
  <si>
    <t>1833e1d8a9e291a7</t>
  </si>
  <si>
    <t>cmkhndka0006gbz346r6yzf4a</t>
  </si>
  <si>
    <t>18333d148ed9b342</t>
  </si>
  <si>
    <t>cmkhndkat006ibz340iawdghz</t>
  </si>
  <si>
    <t>182ebba06b01e80b</t>
  </si>
  <si>
    <t>cmkhndkbj006kbz34vf2zz2p7</t>
  </si>
  <si>
    <t>182ccd024cd1152d</t>
  </si>
  <si>
    <t>cmkhndkc3006mbz34z5h813dw</t>
  </si>
  <si>
    <t>182c7ac8c9dafdad</t>
  </si>
  <si>
    <t>cmkhndkcm006obz3427lr3gdc</t>
  </si>
  <si>
    <t>182adedfd3b492ee</t>
  </si>
  <si>
    <t>cmkhndkdg006qbz34gtqidmf9</t>
  </si>
  <si>
    <t>1823c5c0ca292ee2</t>
  </si>
  <si>
    <t>cmkhndke7006sbz34fmm1m7s1</t>
  </si>
  <si>
    <t>182364d674a3916c</t>
  </si>
  <si>
    <t>cmkhndkez006ubz3494ttgm82</t>
  </si>
  <si>
    <t>18227c21a05eed1c</t>
  </si>
  <si>
    <t>cmkhndkft006wbz34yxmwdg81</t>
  </si>
  <si>
    <t>182184f30ed1d068</t>
  </si>
  <si>
    <t>cmkhndkgl006ybz34fnnk5ue4</t>
  </si>
  <si>
    <t>181fe9012b211184</t>
  </si>
  <si>
    <t>cmkhndkhg0070bz34lpjw43cd</t>
  </si>
  <si>
    <t>181ef60df48b08d4</t>
  </si>
  <si>
    <t>cmkhndki40072bz34phx7y9o0</t>
  </si>
  <si>
    <t>181dfee25126d56a</t>
  </si>
  <si>
    <t>cmkhndkix0074bz34vx1ga5no</t>
  </si>
  <si>
    <t>181b67603c90015c</t>
  </si>
  <si>
    <t>cmkhndkju0076bz34jk4250rw</t>
  </si>
  <si>
    <t>181978fb82a9033d</t>
  </si>
  <si>
    <t>cmkhndkkk0078bz34vdai368i</t>
  </si>
  <si>
    <t>1818d43a6f636d6a</t>
  </si>
  <si>
    <t>cmkhndkla007abz343j1gbd1f</t>
  </si>
  <si>
    <t>1816ea20277a2300</t>
  </si>
  <si>
    <t>cmkhndklv007cbz3417t0jt8t</t>
  </si>
  <si>
    <t>181457124a325658</t>
  </si>
  <si>
    <t>cmkhndkmf007ebz34vhz9vytc</t>
  </si>
  <si>
    <t>1813b2326545c3cd</t>
  </si>
  <si>
    <t>cmkhndkn5007gbz340q1qyynr</t>
  </si>
  <si>
    <t>18121713e3f37980</t>
  </si>
  <si>
    <t>cmkhndkny007ibz34lspfh7o0</t>
  </si>
  <si>
    <t>18107a33659343c7</t>
  </si>
  <si>
    <t>cmkhndkoq007kbz34upaolhzx</t>
  </si>
  <si>
    <t>180fd5911bde3010</t>
  </si>
  <si>
    <t>cmkhndkph007mbz345smf1je0</t>
  </si>
  <si>
    <t>180b540013b9c7d2</t>
  </si>
  <si>
    <t>cmkhndkq0007obz34746qp2sa</t>
  </si>
  <si>
    <t>180aafebbe58832f</t>
  </si>
  <si>
    <t>cmkhndkqk007qbz34yxkdblc6</t>
  </si>
  <si>
    <t>1809b3c3b0c7be01</t>
  </si>
  <si>
    <t>cmkhndkr9007sbz344u3j2ri3</t>
  </si>
  <si>
    <t>18091392599ebd2a</t>
  </si>
  <si>
    <t>cmkhndks4007ubz34mbaotv0w</t>
  </si>
  <si>
    <t>18086e76ec702ce2</t>
  </si>
  <si>
    <t>cmkhndksz007wbz3442ehzohn</t>
  </si>
  <si>
    <t>180772be8d72286c</t>
  </si>
  <si>
    <t>cmkhndktt007ybz34vcboipk0</t>
  </si>
  <si>
    <t>18062d8687d2bf4f</t>
  </si>
  <si>
    <t>cmkhndkuk0080bz34eulmg1dq</t>
  </si>
  <si>
    <t>18050b61de34c468</t>
  </si>
  <si>
    <t>cmkhndkvb0082bz34mijq2w8z</t>
  </si>
  <si>
    <t>17ff6b4ceee276b4</t>
  </si>
  <si>
    <t>cmkhndkw10084bz34dyybhnc4</t>
  </si>
  <si>
    <t>17fe21aa6bd68f2b</t>
  </si>
  <si>
    <t>cmkhndkwm0086bz34o65bj7r3</t>
  </si>
  <si>
    <t>17fd2a7babfae4f5</t>
  </si>
  <si>
    <t>cmkhndkxa0088bz34yx30itct</t>
  </si>
  <si>
    <t>17fb8e67322b8801</t>
  </si>
  <si>
    <t>cmkhndky1008abz34zucuz1ny</t>
  </si>
  <si>
    <t>17f7b0c81ee4ffdc</t>
  </si>
  <si>
    <t>cmkhndkyr008cbz346t56vefz</t>
  </si>
  <si>
    <t>17f66b6276441829</t>
  </si>
  <si>
    <t>cmkhndkzi008ebz34op088i5m</t>
  </si>
  <si>
    <t>17f56ff6114a9e1c</t>
  </si>
  <si>
    <t>cmkhndl0a008gbz34lru6ok0w</t>
  </si>
  <si>
    <t>17f4cf8319ba7480</t>
  </si>
  <si>
    <t>cmkhndl0z008ibz34lh8t3bn5</t>
  </si>
  <si>
    <t>17f42654f8fa76db</t>
  </si>
  <si>
    <t>cmkhndl1j008kbz34tq9zp15b</t>
  </si>
  <si>
    <t>17f32f35269bc993</t>
  </si>
  <si>
    <t>cmkhndl23008mbz34rk63z9yh</t>
  </si>
  <si>
    <t>17f28ebdce94791e</t>
  </si>
  <si>
    <t>cmkhndl2y008obz34vixxofn7</t>
  </si>
  <si>
    <t>17f237f9cfcb948f</t>
  </si>
  <si>
    <t>cmkhndl3v008qbz34otebslog</t>
  </si>
  <si>
    <t>17f09bfbce26ca90</t>
  </si>
  <si>
    <t>cmkhndl4p008sbz34svil59xa</t>
  </si>
  <si>
    <t>17eff726ff717c2c</t>
  </si>
  <si>
    <t>cmkhndl5i008ubz349v938dh5</t>
  </si>
  <si>
    <t>17efa942ec179fee</t>
  </si>
  <si>
    <t>cmkhndl6z008ybz34jkgpkakj</t>
  </si>
  <si>
    <t>17ec6ccb75333bf9</t>
  </si>
  <si>
    <t>cmkhndl7i0090bz34x3dyzlok</t>
  </si>
  <si>
    <t>17ebc8047b0a21f3</t>
  </si>
  <si>
    <t>cmkhndl820092bz34ra9xb6gb</t>
  </si>
  <si>
    <t>17eb233d043bb5ef</t>
  </si>
  <si>
    <t>cmkhndl8p0094bz346n6m2m7g</t>
  </si>
  <si>
    <t>17e98b84fa16c21e</t>
  </si>
  <si>
    <t>cmkhndl9j0096bz34u1lvqekm</t>
  </si>
  <si>
    <t>17e8e6c27edcfcd4</t>
  </si>
  <si>
    <t>cmkhndlaf0098bz34a8sshewi</t>
  </si>
  <si>
    <t>17e5aa7a0ba754b1</t>
  </si>
  <si>
    <t>cmkhndlb6009abz34q9pksstv</t>
  </si>
  <si>
    <t>17e509c96e538b25</t>
  </si>
  <si>
    <t>cmkhndlbq009cbz34jdbxxe8k</t>
  </si>
  <si>
    <t>17e460de1d629434</t>
  </si>
  <si>
    <t>cmkhndlcg009ebz349ltg1mq8</t>
  </si>
  <si>
    <t>17e3174102627f5d</t>
  </si>
  <si>
    <t>cmkhndld9009gbz34c5zqjwh0</t>
  </si>
  <si>
    <t>17e2117b731fb51f</t>
  </si>
  <si>
    <t>cmkhndle1009ibz34six9pwhx</t>
  </si>
  <si>
    <t>17e08428dd7b771c</t>
  </si>
  <si>
    <t>cmkhndley009kbz345nzp8w52</t>
  </si>
  <si>
    <t>17dfdd8d86db4497</t>
  </si>
  <si>
    <t>cmkhndlfl009mbz34e3kyo09w</t>
  </si>
  <si>
    <t>17dda12be116bd05</t>
  </si>
  <si>
    <t>cmkhndlgb009obz34p7d5t57w</t>
  </si>
  <si>
    <t>17dcde41d9198b36</t>
  </si>
  <si>
    <t>cmkhndlh4009qbz34bb3054n4</t>
  </si>
  <si>
    <t>17db5f71e223d12b</t>
  </si>
  <si>
    <t>cmkhndlhp009sbz34l4msijc1</t>
  </si>
  <si>
    <t>17d817622462866c</t>
  </si>
  <si>
    <t>cmkhndlid009ubz34co5zbuvw</t>
  </si>
  <si>
    <t>17d7836528521680</t>
  </si>
  <si>
    <t>cmkhndlj8009wbz34cghb1uvx</t>
  </si>
  <si>
    <t>17d49fd2aafbc7cb</t>
  </si>
  <si>
    <t>cmkhndlk0009ybz34ca4hiqbj</t>
  </si>
  <si>
    <t>17d3562808f569fb</t>
  </si>
  <si>
    <t>cmkhndlkw00a0bz34w0o7946m</t>
  </si>
  <si>
    <t>17d301f99e2172ea</t>
  </si>
  <si>
    <t>cmkhndllp00a2bz34lwmun0e0</t>
  </si>
  <si>
    <t>17d16840f99f7f3e</t>
  </si>
  <si>
    <t>cmkhndlmi00a4bz34qh8vpl5o</t>
  </si>
  <si>
    <t>17cc3e02bc921a11</t>
  </si>
  <si>
    <t>cmkhndlo000a6bz34wxga9zqy</t>
  </si>
  <si>
    <t>17cb991f9019ca6b</t>
  </si>
  <si>
    <t>cmkhndlop00a8bz34rrqi7yzv</t>
  </si>
  <si>
    <t>17ca76f2242de7db</t>
  </si>
  <si>
    <t>cmkhndlpk00aabz34yu31ssrb</t>
  </si>
  <si>
    <t>17c9fd053a4e0cf6</t>
  </si>
  <si>
    <t>cmkhndlqe00acbz34qcol5dc7</t>
  </si>
  <si>
    <t>17c958294963762f</t>
  </si>
  <si>
    <t>cmkhndlr600aebz34w5mgc9ee</t>
  </si>
  <si>
    <t>17c7bc6048be9263</t>
  </si>
  <si>
    <t>cmkhndlrx00agbz34712s74sn</t>
  </si>
  <si>
    <t>17c7179bac5cea25</t>
  </si>
  <si>
    <t>cmkhndltg00akbz34ec9len60</t>
  </si>
  <si>
    <t>17c5f54374ea63d8</t>
  </si>
  <si>
    <t>cmkhndltz00ambz34dg96okjm</t>
  </si>
  <si>
    <t>17c57b90e552b1a3</t>
  </si>
  <si>
    <t>cmkhndluj00aobz34fzg8dq8q</t>
  </si>
  <si>
    <t>17c33b0d0983a970</t>
  </si>
  <si>
    <t>cmkhndlv500aqbz34rapue8fp</t>
  </si>
  <si>
    <t>17c29635c4c44ebd</t>
  </si>
  <si>
    <t>cmkhndlvo00asbz348ui6z9v9</t>
  </si>
  <si>
    <t>17c05584206c3355</t>
  </si>
  <si>
    <t>Date</t>
  </si>
  <si>
    <t>Strength (Upper)</t>
  </si>
  <si>
    <t>DriTri</t>
  </si>
  <si>
    <t>Tread 50</t>
  </si>
  <si>
    <t>Hyrox 2G</t>
  </si>
  <si>
    <t>Tornado</t>
  </si>
  <si>
    <t>2G</t>
  </si>
  <si>
    <t>3G</t>
  </si>
  <si>
    <t>WorkoutType</t>
  </si>
  <si>
    <t>HelperDate</t>
  </si>
  <si>
    <t>19bd1fea3cf10c63</t>
  </si>
  <si>
    <t>cmkk8sjey0003bzckn2xbym7g</t>
  </si>
  <si>
    <t>Hyrox 3G</t>
  </si>
  <si>
    <t>classTime</t>
  </si>
  <si>
    <t>studioLocation</t>
  </si>
  <si>
    <t>classInstructor</t>
  </si>
  <si>
    <t>treadmillAvgSpeed</t>
  </si>
  <si>
    <t>treadmillMaxSpeed</t>
  </si>
  <si>
    <t>treadmillAvgIncline</t>
  </si>
  <si>
    <t>treadmillMaxIncline</t>
  </si>
  <si>
    <t>treadmillAvgPace</t>
  </si>
  <si>
    <t>treadmillFastestPace</t>
  </si>
  <si>
    <t>treadmillElevation</t>
  </si>
  <si>
    <t>rowingAvgWattage</t>
  </si>
  <si>
    <t>rowingMaxWattage</t>
  </si>
  <si>
    <t>rowingAvgSpeed</t>
  </si>
  <si>
    <t>rowingMaxSpeed</t>
  </si>
  <si>
    <t>rowing500mSplit</t>
  </si>
  <si>
    <t>rowingMax500mSplit</t>
  </si>
  <si>
    <t>rowingAvgStrokeRate</t>
  </si>
  <si>
    <t>updatedAt</t>
  </si>
  <si>
    <t>Justin</t>
  </si>
  <si>
    <t>West Chester</t>
  </si>
  <si>
    <t>Melissa</t>
  </si>
  <si>
    <t>Rookwood</t>
  </si>
  <si>
    <t>cmknzib9p001ig8bz4t1xw99w</t>
  </si>
  <si>
    <t>2025-07-28T13:30:07.000+00:00</t>
  </si>
  <si>
    <t>New Albany, OH</t>
  </si>
  <si>
    <t>Kelly</t>
  </si>
  <si>
    <t>2026-01-21T12:13:39.853+00:00</t>
  </si>
  <si>
    <t>cmknzicc80038g8bzlx082oly</t>
  </si>
  <si>
    <t>2022-09-14T22:27:45.000+00:00</t>
  </si>
  <si>
    <t>Tariq</t>
  </si>
  <si>
    <t>2026-01-21T12:13:41.240+00:00</t>
  </si>
  <si>
    <t>cmknziayc0011g8bz5eapuxiv</t>
  </si>
  <si>
    <t>2025-09-29T12:16:25.000+00:00</t>
  </si>
  <si>
    <t>2026-01-21T12:13:39.444+00:00</t>
  </si>
  <si>
    <t>cmknzibau001kg8bzlp867jho</t>
  </si>
  <si>
    <t>2025-07-14T12:16:10.000+00:00</t>
  </si>
  <si>
    <t>2026-01-21T12:13:39.894+00:00</t>
  </si>
  <si>
    <t>cmknzib8j001gg8bzg80zpcm9</t>
  </si>
  <si>
    <t>2025-08-04T12:22:44.000+00:00</t>
  </si>
  <si>
    <t>2026-01-21T12:13:39.811+00:00</t>
  </si>
  <si>
    <t>cmknziabq0004g8bzcffpmlm4</t>
  </si>
  <si>
    <t>2026-01-13T14:32:52.000+00:00</t>
  </si>
  <si>
    <t>Martha Martin</t>
  </si>
  <si>
    <t>2026-01-21T12:13:38.630+00:00</t>
  </si>
  <si>
    <t>cmknziddp005eg8bz16hr3s69</t>
  </si>
  <si>
    <t>2021-09-27T22:32:29.000+00:00</t>
  </si>
  <si>
    <t>2026-01-21T12:13:42.589+00:00</t>
  </si>
  <si>
    <t>cmknzibv2002gg8bzqxufhmvy</t>
  </si>
  <si>
    <t>2023-02-20T11:58:15.000+00:00</t>
  </si>
  <si>
    <t>Kate</t>
  </si>
  <si>
    <t>2026-01-21T12:13:40.622+00:00</t>
  </si>
  <si>
    <t>cmknzib2e0017g8bz3dhom7tb</t>
  </si>
  <si>
    <t>2025-09-12T13:32:44.000+00:00</t>
  </si>
  <si>
    <t>2026-01-21T12:13:39.590+00:00</t>
  </si>
  <si>
    <t>cmknziaiy000eg8bzblz7ai8g</t>
  </si>
  <si>
    <t>2025-12-17T14:37:47.000+00:00</t>
  </si>
  <si>
    <t>Shannon</t>
  </si>
  <si>
    <t>2026-01-21T12:13:38.890+00:00</t>
  </si>
  <si>
    <t>cmknzid7p0051g8bzabhf4zcp</t>
  </si>
  <si>
    <t>2021-11-17T22:58:35.000+00:00</t>
  </si>
  <si>
    <t>Patrick</t>
  </si>
  <si>
    <t>2026-01-21T12:13:42.373+00:00</t>
  </si>
  <si>
    <t>cmknzidd8005dg8bzd51weo7k</t>
  </si>
  <si>
    <t>2021-09-29T22:33:17.000+00:00</t>
  </si>
  <si>
    <t>Jordyn</t>
  </si>
  <si>
    <t>2026-01-21T12:13:42.572+00:00</t>
  </si>
  <si>
    <t>cmknzick4003og8bzi67cq3wm</t>
  </si>
  <si>
    <t>2022-06-16T22:28:39.000+00:00</t>
  </si>
  <si>
    <t>2026-01-21T12:13:41.524+00:00</t>
  </si>
  <si>
    <t>cmknziavh000wg8bzcfrpdrpz</t>
  </si>
  <si>
    <t>2025-10-21T08:12:47.000+00:00</t>
  </si>
  <si>
    <t>2026-01-21T12:13:39.341+00:00</t>
  </si>
  <si>
    <t>cmknzicjn003ng8bz2h2nb8jz</t>
  </si>
  <si>
    <t>2022-06-22T21:13:49.000+00:00</t>
  </si>
  <si>
    <t>2026-01-21T12:13:41.507+00:00</t>
  </si>
  <si>
    <t>cmknziafa0009g8bzefpr297m</t>
  </si>
  <si>
    <t>2026-01-02T16:59:16.000+00:00</t>
  </si>
  <si>
    <t>Lauren Rarick</t>
  </si>
  <si>
    <t>2026-01-21T12:13:38.758+00:00</t>
  </si>
  <si>
    <t>cmknzicrz0044g8bz5hc5ezp9</t>
  </si>
  <si>
    <t>2022-03-28T22:31:21.000+00:00</t>
  </si>
  <si>
    <t>2026-01-21T12:13:41.807+00:00</t>
  </si>
  <si>
    <t>cmknzian9000kg8bzq3i4mwvk</t>
  </si>
  <si>
    <t>2025-11-24T14:32:43.000+00:00</t>
  </si>
  <si>
    <t>2026-01-21T12:13:39.045+00:00</t>
  </si>
  <si>
    <t>cmknzic75002zg8bzako9u9kz</t>
  </si>
  <si>
    <t>2022-11-10T22:22:51.000+00:00</t>
  </si>
  <si>
    <t>2026-01-21T12:13:41.057+00:00</t>
  </si>
  <si>
    <t>cmknzide8005fg8bzk9ua9oc0</t>
  </si>
  <si>
    <t>2021-09-20T22:34:02.000+00:00</t>
  </si>
  <si>
    <t>2026-01-21T12:13:42.608+00:00</t>
  </si>
  <si>
    <t>cmknziaw4000xg8bz2y6pfbvv</t>
  </si>
  <si>
    <t>2025-10-14T13:32:44.000+00:00</t>
  </si>
  <si>
    <t>Martha</t>
  </si>
  <si>
    <t>2026-01-21T12:13:39.364+00:00</t>
  </si>
  <si>
    <t>cmknzictr0048g8bzpkpzz08o</t>
  </si>
  <si>
    <t>2022-03-04T22:14:10.000+00:00</t>
  </si>
  <si>
    <t>Madi</t>
  </si>
  <si>
    <t>2026-01-21T12:13:41.871+00:00</t>
  </si>
  <si>
    <t>cmknzicpl003zg8bzxh1vqavf</t>
  </si>
  <si>
    <t>2022-04-29T21:13:27.000+00:00</t>
  </si>
  <si>
    <t>2026-01-21T12:13:41.721+00:00</t>
  </si>
  <si>
    <t>cmknzicl0003qg8bzobtrajai</t>
  </si>
  <si>
    <t>2022-06-06T22:29:27.000+00:00</t>
  </si>
  <si>
    <t>2026-01-21T12:13:41.556+00:00</t>
  </si>
  <si>
    <t>cmknzice3003bg8bzblcazwqg</t>
  </si>
  <si>
    <t>2022-08-23T22:26:08.000+00:00</t>
  </si>
  <si>
    <t>2026-01-21T12:13:41.307+00:00</t>
  </si>
  <si>
    <t>cmknzic55002wg8bzfwbd8jye</t>
  </si>
  <si>
    <t>2022-12-01T22:22:46.000+00:00</t>
  </si>
  <si>
    <t>2026-01-21T12:13:40.985+00:00</t>
  </si>
  <si>
    <t>cmknzicfj003eg8bz7nvnyrbo</t>
  </si>
  <si>
    <t>2022-07-26T21:14:01.000+00:00</t>
  </si>
  <si>
    <t>2026-01-21T12:13:41.359+00:00</t>
  </si>
  <si>
    <t>cmknzidai0057g8bzdd0mr8x9</t>
  </si>
  <si>
    <t>2021-10-18T22:25:34.000+00:00</t>
  </si>
  <si>
    <t>2026-01-21T12:13:42.474+00:00</t>
  </si>
  <si>
    <t>cmknzicf2003dg8bzp8s4cgx6</t>
  </si>
  <si>
    <t>2022-08-17T22:30:30.000+00:00</t>
  </si>
  <si>
    <t>2026-01-21T12:13:41.342+00:00</t>
  </si>
  <si>
    <t>cmknzibmd0022g8bzpk93nvw3</t>
  </si>
  <si>
    <t>2023-06-07T16:43:34.000+00:00</t>
  </si>
  <si>
    <t>2026-01-21T12:13:40.309+00:00</t>
  </si>
  <si>
    <t>cmknziafx000ag8bzi3rkzpj3</t>
  </si>
  <si>
    <t>2025-12-30T13:28:48.000+00:00</t>
  </si>
  <si>
    <t>2026-01-21T12:13:38.781+00:00</t>
  </si>
  <si>
    <t>cmknziccx0039g8bz0o6iwcpd</t>
  </si>
  <si>
    <t>2022-09-12T22:28:16.000+00:00</t>
  </si>
  <si>
    <t>2026-01-21T12:13:41.264+00:00</t>
  </si>
  <si>
    <t>cmknzidcr005cg8bz2vdbf7zy</t>
  </si>
  <si>
    <t>2021-10-06T22:28:37.000+00:00</t>
  </si>
  <si>
    <t>2026-01-21T12:13:42.555+00:00</t>
  </si>
  <si>
    <t>cmknzibts002eg8bz9ndo3cng</t>
  </si>
  <si>
    <t>2023-02-28T17:43:07.000+00:00</t>
  </si>
  <si>
    <t>Brennan</t>
  </si>
  <si>
    <t>2026-01-21T12:13:40.576+00:00</t>
  </si>
  <si>
    <t>cmknzibxx002kg8bzbh7fgc3g</t>
  </si>
  <si>
    <t>2023-01-30T17:58:06.000+00:00</t>
  </si>
  <si>
    <t>Newport, KY</t>
  </si>
  <si>
    <t>Ellen</t>
  </si>
  <si>
    <t>2026-01-21T12:13:40.725+00:00</t>
  </si>
  <si>
    <t>cmknzicrk0043g8bz3gy9fcaj</t>
  </si>
  <si>
    <t>2022-03-31T22:31:11.000+00:00</t>
  </si>
  <si>
    <t>2026-01-21T12:13:41.792+00:00</t>
  </si>
  <si>
    <t>cmknzid840052g8bzikgxowl3</t>
  </si>
  <si>
    <t>2021-11-12T23:38:12.000+00:00</t>
  </si>
  <si>
    <t>2026-01-21T12:13:42.388+00:00</t>
  </si>
  <si>
    <t>cmknzib5x001cg8bz1opdsadp</t>
  </si>
  <si>
    <t>2025-08-14T12:27:47.000+00:00</t>
  </si>
  <si>
    <t>2026-01-21T12:13:39.717+00:00</t>
  </si>
  <si>
    <t>cmknzictb0047g8bzg4z47dte</t>
  </si>
  <si>
    <t>2022-03-07T23:28:07.000+00:00</t>
  </si>
  <si>
    <t>2026-01-21T12:13:41.855+00:00</t>
  </si>
  <si>
    <t>cmknziatu000tg8bz53ygqped</t>
  </si>
  <si>
    <t>2025-10-31T13:32:45.000+00:00</t>
  </si>
  <si>
    <t>2026-01-21T12:13:39.282+00:00</t>
  </si>
  <si>
    <t>cmknzica50034g8bzgmuya4r6</t>
  </si>
  <si>
    <t>2022-09-28T22:27:53.000+00:00</t>
  </si>
  <si>
    <t>2026-01-21T12:13:41.165+00:00</t>
  </si>
  <si>
    <t>cmknzicgg003gg8bzjm9qjnu9</t>
  </si>
  <si>
    <t>2022-07-22T21:13:28.000+00:00</t>
  </si>
  <si>
    <t>2026-01-21T12:13:41.392+00:00</t>
  </si>
  <si>
    <t>cmknziciq003lg8bzad5710of</t>
  </si>
  <si>
    <t>2022-06-30T21:13:15.000+00:00</t>
  </si>
  <si>
    <t>2026-01-21T12:13:41.474+00:00</t>
  </si>
  <si>
    <t>cmknziamj000jg8bzvpfp55q3</t>
  </si>
  <si>
    <t>2025-12-01T14:32:59.000+00:00</t>
  </si>
  <si>
    <t>2026-01-21T12:13:39.019+00:00</t>
  </si>
  <si>
    <t>cmknzid01004lg8bz5p3ct0dj</t>
  </si>
  <si>
    <t>2022-01-26T23:28:42.000+00:00</t>
  </si>
  <si>
    <t>2026-01-21T12:13:42.097+00:00</t>
  </si>
  <si>
    <t>cmknzid8m0053g8bz0qb437pm</t>
  </si>
  <si>
    <t>2021-10-27T22:30:20.000+00:00</t>
  </si>
  <si>
    <t>2026-01-21T12:13:42.405+00:00</t>
  </si>
  <si>
    <t>cmknzicuq004ag8bzmp3zcfio</t>
  </si>
  <si>
    <t>2022-02-28T22:13:29.000+00:00</t>
  </si>
  <si>
    <t>2026-01-21T12:13:41.906+00:00</t>
  </si>
  <si>
    <t>cmknzibt7002dg8bzlxlomy4c</t>
  </si>
  <si>
    <t>2023-03-03T18:00:45.000+00:00</t>
  </si>
  <si>
    <t>Amanda</t>
  </si>
  <si>
    <t>2026-01-21T12:13:40.555+00:00</t>
  </si>
  <si>
    <t>cmknzialw000ig8bzp7ilb6p3</t>
  </si>
  <si>
    <t>2025-12-03T14:32:44.000+00:00</t>
  </si>
  <si>
    <t>2026-01-21T12:13:38.996+00:00</t>
  </si>
  <si>
    <t>cmknziahf000cg8bzkrabsybq</t>
  </si>
  <si>
    <t>2025-12-21T16:44:09.000+00:00</t>
  </si>
  <si>
    <t>Lamara</t>
  </si>
  <si>
    <t>2026-01-21T12:13:38.835+00:00</t>
  </si>
  <si>
    <t>cmknziakn000gg8bzgcfoqd0t</t>
  </si>
  <si>
    <t>2025-12-12T14:32:59.000+00:00</t>
  </si>
  <si>
    <t>2026-01-21T12:13:38.951+00:00</t>
  </si>
  <si>
    <t>cmknzic9l0033g8bzv313wmup</t>
  </si>
  <si>
    <t>2022-10-06T17:00:03.000+00:00</t>
  </si>
  <si>
    <t>Fairfield</t>
  </si>
  <si>
    <t>Rachel</t>
  </si>
  <si>
    <t>2026-01-21T12:13:41.145+00:00</t>
  </si>
  <si>
    <t>cmknziaar0003g8bzbrgs68ct</t>
  </si>
  <si>
    <t>2026-01-15T14:31:31.000+00:00</t>
  </si>
  <si>
    <t>Carmen Snyder</t>
  </si>
  <si>
    <t>2026-01-21T12:13:38.595+00:00</t>
  </si>
  <si>
    <t>cmknzibq40028g8bzbszl4v6a</t>
  </si>
  <si>
    <t>2023-04-06T16:58:01.000+00:00</t>
  </si>
  <si>
    <t>2026-01-21T12:13:40.444+00:00</t>
  </si>
  <si>
    <t>cmknzibyk002lg8bzqcykpz2h</t>
  </si>
  <si>
    <t>2023-01-25T17:44:38.000+00:00</t>
  </si>
  <si>
    <t>2026-01-21T12:13:40.748+00:00</t>
  </si>
  <si>
    <t>cmknzicao0035g8bzlyh6jco4</t>
  </si>
  <si>
    <t>2022-09-26T22:30:09.000+00:00</t>
  </si>
  <si>
    <t>2026-01-21T12:13:41.184+00:00</t>
  </si>
  <si>
    <t>cmknzicb90036g8bz0x8e22vz</t>
  </si>
  <si>
    <t>2022-09-21T22:28:39.000+00:00</t>
  </si>
  <si>
    <t>2026-01-21T12:13:41.205+00:00</t>
  </si>
  <si>
    <t>cmknzibix001xg8bz9j4frtru</t>
  </si>
  <si>
    <t>2023-07-10T10:58:08.000+00:00</t>
  </si>
  <si>
    <t>2026-01-21T12:13:40.185+00:00</t>
  </si>
  <si>
    <t>cmknzicbp0037g8bza8qft9mb</t>
  </si>
  <si>
    <t>2022-09-19T22:28:01.000+00:00</t>
  </si>
  <si>
    <t>2026-01-21T12:13:41.221+00:00</t>
  </si>
  <si>
    <t>cmknzicp4003yg8bzzh7rxmlr</t>
  </si>
  <si>
    <t>2022-05-02T22:32:34.000+00:00</t>
  </si>
  <si>
    <t>2026-01-21T12:13:41.704+00:00</t>
  </si>
  <si>
    <t>cmknzibcq001ng8bzico6a065</t>
  </si>
  <si>
    <t>2025-07-03T12:27:53.000+00:00</t>
  </si>
  <si>
    <t>2026-01-21T12:13:39.962+00:00</t>
  </si>
  <si>
    <t>cmknzidcd005bg8bzjttn6xb6</t>
  </si>
  <si>
    <t>2021-10-08T09:55:25.000+00:00</t>
  </si>
  <si>
    <t>Doris</t>
  </si>
  <si>
    <t>2026-01-21T12:13:42.541+00:00</t>
  </si>
  <si>
    <t>cmknzib5d001bg8bzgl7x2xnj</t>
  </si>
  <si>
    <t>2025-08-22T14:42:49.000+00:00</t>
  </si>
  <si>
    <t>2026-01-21T12:13:39.697+00:00</t>
  </si>
  <si>
    <t>cmknzib360018g8bzrjxom9rz</t>
  </si>
  <si>
    <t>2025-09-08T13:32:48.000+00:00</t>
  </si>
  <si>
    <t>2026-01-21T12:13:39.618+00:00</t>
  </si>
  <si>
    <t>cmknziapk000ng8bz0tii50gr</t>
  </si>
  <si>
    <t>2025-11-17T14:37:46.000+00:00</t>
  </si>
  <si>
    <t>2026-01-21T12:13:39.128+00:00</t>
  </si>
  <si>
    <t>cmknzicm4003sg8bzk4619rkd</t>
  </si>
  <si>
    <t>2022-05-27T22:29:05.000+00:00</t>
  </si>
  <si>
    <t>2026-01-21T12:13:41.596+00:00</t>
  </si>
  <si>
    <t>cmknzid1i004og8bzjhqpgyrz</t>
  </si>
  <si>
    <t>2022-01-12T23:25:45.000+00:00</t>
  </si>
  <si>
    <t>2026-01-21T12:13:42.150+00:00</t>
  </si>
  <si>
    <t>cmknzicu80049g8bzewqhcufo</t>
  </si>
  <si>
    <t>2022-03-02T23:30:07.000+00:00</t>
  </si>
  <si>
    <t>2026-01-21T12:13:41.888+00:00</t>
  </si>
  <si>
    <t>cmknzid9j0055g8bzwmcutxff</t>
  </si>
  <si>
    <t>2021-10-22T09:57:30.000+00:00</t>
  </si>
  <si>
    <t>2026-01-21T12:13:42.439+00:00</t>
  </si>
  <si>
    <t>cmknzic4f002vg8bzg6taykws</t>
  </si>
  <si>
    <t>2022-12-05T17:58:04.000+00:00</t>
  </si>
  <si>
    <t>2026-01-21T12:13:40.959+00:00</t>
  </si>
  <si>
    <t>cmknzicno003vg8bzjgmqf18x</t>
  </si>
  <si>
    <t>2022-05-09T22:44:21.000+00:00</t>
  </si>
  <si>
    <t>2026-01-21T12:13:41.652+00:00</t>
  </si>
  <si>
    <t>cmknzibzu002ng8bzlirt1qky</t>
  </si>
  <si>
    <t>2023-01-11T17:59:22.000+00:00</t>
  </si>
  <si>
    <t>2026-01-21T12:13:40.794+00:00</t>
  </si>
  <si>
    <t>cmknzidb00058g8bz91hb8sg9</t>
  </si>
  <si>
    <t>2021-10-13T22:29:06.000+00:00</t>
  </si>
  <si>
    <t>Gretchen</t>
  </si>
  <si>
    <t>2026-01-21T12:13:42.492+00:00</t>
  </si>
  <si>
    <t>cmknzia8g0001g8bz0f122rzr</t>
  </si>
  <si>
    <t>19bdbd7269f7e953</t>
  </si>
  <si>
    <t>2026-01-20T14:37:48.000+00:00</t>
  </si>
  <si>
    <t>2026-01-21T12:13:38.512+00:00</t>
  </si>
  <si>
    <t>cmknzicsf0045g8bziygctih2</t>
  </si>
  <si>
    <t>2022-03-23T22:29:44.000+00:00</t>
  </si>
  <si>
    <t>2026-01-21T12:13:41.823+00:00</t>
  </si>
  <si>
    <t>cmknziala000hg8bzhb3xbif5</t>
  </si>
  <si>
    <t>2025-12-10T14:37:43.000+00:00</t>
  </si>
  <si>
    <t>2026-01-21T12:13:38.974+00:00</t>
  </si>
  <si>
    <t>cmknzicyl004ig8bzb7cvxrcg</t>
  </si>
  <si>
    <t>2022-02-04T22:13:31.000+00:00</t>
  </si>
  <si>
    <t>2026-01-21T12:13:42.045+00:00</t>
  </si>
  <si>
    <t>cmknzib7z001fg8bz4nosqxpv</t>
  </si>
  <si>
    <t>2025-08-06T12:28:17.000+00:00</t>
  </si>
  <si>
    <t>Alex</t>
  </si>
  <si>
    <t>2026-01-21T12:13:39.791+00:00</t>
  </si>
  <si>
    <t>cmknzic0f002og8bzo3nqr92l</t>
  </si>
  <si>
    <t>2023-01-05T17:58:57.000+00:00</t>
  </si>
  <si>
    <t>2026-01-21T12:13:40.815+00:00</t>
  </si>
  <si>
    <t>cmknzid6r004zg8bzavn00oag</t>
  </si>
  <si>
    <t>2021-11-22T23:31:07.000+00:00</t>
  </si>
  <si>
    <t>2026-01-21T12:13:42.339+00:00</t>
  </si>
  <si>
    <t>cmknzid770050g8bz7vmdyaoc</t>
  </si>
  <si>
    <t>2021-11-18T23:29:47.000+00:00</t>
  </si>
  <si>
    <t>2026-01-21T12:13:42.355+00:00</t>
  </si>
  <si>
    <t>cmknziaug000ug8bz8k2dr9ya</t>
  </si>
  <si>
    <t>2025-10-29T12:29:17.000+00:00</t>
  </si>
  <si>
    <t>2026-01-21T12:13:39.304+00:00</t>
  </si>
  <si>
    <t>cmknzicmm003tg8bzpvcdx5ed</t>
  </si>
  <si>
    <t>2022-05-25T22:31:52.000+00:00</t>
  </si>
  <si>
    <t>2026-01-21T12:13:41.614+00:00</t>
  </si>
  <si>
    <t>cmknzicqi0041g8bzwjxaaywr</t>
  </si>
  <si>
    <t>2022-04-22T09:59:13.000+00:00</t>
  </si>
  <si>
    <t>2026-01-21T12:13:41.754+00:00</t>
  </si>
  <si>
    <t>cmknzicq30040g8bzgdws1gyc</t>
  </si>
  <si>
    <t>2022-04-25T22:29:50.000+00:00</t>
  </si>
  <si>
    <t>2026-01-21T12:13:41.739+00:00</t>
  </si>
  <si>
    <t>cmknzib6k001dg8bzx1lu7wph</t>
  </si>
  <si>
    <t>2025-08-11T13:31:40.000+00:00</t>
  </si>
  <si>
    <t>2026-01-21T12:13:39.740+00:00</t>
  </si>
  <si>
    <t>cmknzibbk001lg8bzfpi1fmae</t>
  </si>
  <si>
    <t>2025-07-11T13:32:46.000+00:00</t>
  </si>
  <si>
    <t>2026-01-21T12:13:39.920+00:00</t>
  </si>
  <si>
    <t>cmknzid2z004rg8bzuw099zo8</t>
  </si>
  <si>
    <t>2022-01-03T17:58:28.000+00:00</t>
  </si>
  <si>
    <t>Bryan</t>
  </si>
  <si>
    <t>2026-01-21T12:13:42.203+00:00</t>
  </si>
  <si>
    <t>cmknzic25002rg8bzzhd2dyqg</t>
  </si>
  <si>
    <t>2022-12-29T15:57:50.000+00:00</t>
  </si>
  <si>
    <t>2026-01-21T12:13:40.877+00:00</t>
  </si>
  <si>
    <t>cmknzicz3004jg8bzadxhuqpd</t>
  </si>
  <si>
    <t>2022-02-02T22:13:50.000+00:00</t>
  </si>
  <si>
    <t>2026-01-21T12:13:42.063+00:00</t>
  </si>
  <si>
    <t>cmknziai1000dg8bzndr77avc</t>
  </si>
  <si>
    <t>2025-12-19T14:33:29.000+00:00</t>
  </si>
  <si>
    <t>2026-01-21T12:13:38.857+00:00</t>
  </si>
  <si>
    <t>cmknziaqz000pg8bzjprvpco4</t>
  </si>
  <si>
    <t>2025-11-10T14:32:44.000+00:00</t>
  </si>
  <si>
    <t>2026-01-21T12:13:39.179+00:00</t>
  </si>
  <si>
    <t>cmknziad30006g8bz3ot1g0yi</t>
  </si>
  <si>
    <t>2026-01-09T14:31:59.000+00:00</t>
  </si>
  <si>
    <t>Kelly Erlinger</t>
  </si>
  <si>
    <t>2026-01-21T12:13:38.679+00:00</t>
  </si>
  <si>
    <t>cmknzicdl003ag8bzzj7wafvj</t>
  </si>
  <si>
    <t>2022-08-29T22:30:12.000+00:00</t>
  </si>
  <si>
    <t>2026-01-21T12:13:41.289+00:00</t>
  </si>
  <si>
    <t>cmknziaq9000og8bz55fxdroh</t>
  </si>
  <si>
    <t>2025-11-14T14:32:44.000+00:00</t>
  </si>
  <si>
    <t>2026-01-21T12:13:39.153+00:00</t>
  </si>
  <si>
    <t>cmknzico4003wg8bz1ppodd00</t>
  </si>
  <si>
    <t>2022-05-06T21:17:36.000+00:00</t>
  </si>
  <si>
    <t>2026-01-21T12:13:41.668+00:00</t>
  </si>
  <si>
    <t>cmknzibnn0024g8bzbla7itfk</t>
  </si>
  <si>
    <t>2023-05-01T16:43:11.000+00:00</t>
  </si>
  <si>
    <t>2026-01-21T12:13:40.355+00:00</t>
  </si>
  <si>
    <t>cmknzicgu003hg8bzu3sqqkyn</t>
  </si>
  <si>
    <t>2022-07-19T21:13:38.000+00:00</t>
  </si>
  <si>
    <t>2026-01-21T12:13:41.406+00:00</t>
  </si>
  <si>
    <t>cmknzib1o0016g8bzjaqtj077</t>
  </si>
  <si>
    <t>2025-09-15T13:32:46.000+00:00</t>
  </si>
  <si>
    <t>2026-01-21T12:13:39.564+00:00</t>
  </si>
  <si>
    <t>cmknzibkc001zg8bz8hltdczk</t>
  </si>
  <si>
    <t>2023-06-18T12:29:54.000+00:00</t>
  </si>
  <si>
    <t>Brittany</t>
  </si>
  <si>
    <t>2026-01-21T12:13:40.236+00:00</t>
  </si>
  <si>
    <t>cmknzic5s002xg8bzkzqrh2yy</t>
  </si>
  <si>
    <t>2022-11-29T22:22:47.000+00:00</t>
  </si>
  <si>
    <t>Tao</t>
  </si>
  <si>
    <t>2026-01-21T12:13:41.008+00:00</t>
  </si>
  <si>
    <t>cmknzicr10042g8bz563u9sxn</t>
  </si>
  <si>
    <t>2022-04-04T22:31:58.000+00:00</t>
  </si>
  <si>
    <t>2026-01-21T12:13:41.773+00:00</t>
  </si>
  <si>
    <t>cmknzib410019g8bzqrjehypy</t>
  </si>
  <si>
    <t>2025-09-06T09:42:47.000+00:00</t>
  </si>
  <si>
    <t>2026-01-21T12:13:39.649+00:00</t>
  </si>
  <si>
    <t>cmknzic7q0030g8bz0nzetq0m</t>
  </si>
  <si>
    <t>2022-11-04T16:57:59.000+00:00</t>
  </si>
  <si>
    <t>London</t>
  </si>
  <si>
    <t>2026-01-21T12:13:41.078+00:00</t>
  </si>
  <si>
    <t>cmknziao2000lg8bzvu68ln85</t>
  </si>
  <si>
    <t>2025-11-21T14:37:45.000+00:00</t>
  </si>
  <si>
    <t>2026-01-21T12:13:39.074+00:00</t>
  </si>
  <si>
    <t>cmknzibg3001sg8bzoc3iofut</t>
  </si>
  <si>
    <t>2023-08-21T10:02:54.000+00:00</t>
  </si>
  <si>
    <t>2026-01-21T12:13:40.083+00:00</t>
  </si>
  <si>
    <t>cmknzibwn002ig8bzec091uex</t>
  </si>
  <si>
    <t>2023-02-13T17:59:55.000+00:00</t>
  </si>
  <si>
    <t>2026-01-21T12:13:40.679+00:00</t>
  </si>
  <si>
    <t>cmknzici9003kg8bzepoasmu9</t>
  </si>
  <si>
    <t>2022-07-08T22:28:54.000+00:00</t>
  </si>
  <si>
    <t>2026-01-21T12:13:41.457+00:00</t>
  </si>
  <si>
    <t>cmknzicsu0046g8bzyrt7j1du</t>
  </si>
  <si>
    <t>2022-03-11T22:14:49.000+00:00</t>
  </si>
  <si>
    <t>2026-01-21T12:13:41.838+00:00</t>
  </si>
  <si>
    <t>cmknzibdh001og8bzex9toxhc</t>
  </si>
  <si>
    <t>2025-06-30T14:42:47.000+00:00</t>
  </si>
  <si>
    <t>2026-01-21T12:13:39.989+00:00</t>
  </si>
  <si>
    <t>cmknzicxp004gg8bzjmveb7r4</t>
  </si>
  <si>
    <t>2022-02-14T23:32:00.000+00:00</t>
  </si>
  <si>
    <t>2026-01-21T12:13:42.013+00:00</t>
  </si>
  <si>
    <t>cmknzida10056g8bzesczo891</t>
  </si>
  <si>
    <t>2021-10-20T22:26:41.000+00:00</t>
  </si>
  <si>
    <t>2026-01-21T12:13:42.457+00:00</t>
  </si>
  <si>
    <t>cmknzichu003jg8bz3a3mk9yl</t>
  </si>
  <si>
    <t>2022-07-11T22:28:31.000+00:00</t>
  </si>
  <si>
    <t>2026-01-21T12:13:41.442+00:00</t>
  </si>
  <si>
    <t>cmknziboc0025g8bzi8l3vf5l</t>
  </si>
  <si>
    <t>2023-04-25T21:22:46.000+00:00</t>
  </si>
  <si>
    <t>2026-01-21T12:13:40.380+00:00</t>
  </si>
  <si>
    <t>cmknzid4v004vg8bze1h0akmu</t>
  </si>
  <si>
    <t>2021-12-18T14:13:37.000+00:00</t>
  </si>
  <si>
    <t>2026-01-21T12:13:42.271+00:00</t>
  </si>
  <si>
    <t>cmknzicfy003fg8bzg6pxjmqr</t>
  </si>
  <si>
    <t>2022-07-25T17:00:18.000+00:00</t>
  </si>
  <si>
    <t>2026-01-21T12:13:41.374+00:00</t>
  </si>
  <si>
    <t>cmknziayx0012g8bzrbb87l0w</t>
  </si>
  <si>
    <t>2025-09-26T14:42:46.000+00:00</t>
  </si>
  <si>
    <t>2026-01-21T12:13:39.465+00:00</t>
  </si>
  <si>
    <t>cmknzichc003ig8bzjf428qr9</t>
  </si>
  <si>
    <t>2022-07-14T21:14:22.000+00:00</t>
  </si>
  <si>
    <t>2026-01-21T12:13:41.424+00:00</t>
  </si>
  <si>
    <t>cmknzicvx004cg8bzhp9g5dle</t>
  </si>
  <si>
    <t>2022-02-23T23:30:19.000+00:00</t>
  </si>
  <si>
    <t>2026-01-21T12:13:41.949+00:00</t>
  </si>
  <si>
    <t>cmknzic6f002yg8bzyd8mdq12</t>
  </si>
  <si>
    <t>2022-11-15T22:17:47.000+00:00</t>
  </si>
  <si>
    <t>2026-01-21T12:13:41.031+00:00</t>
  </si>
  <si>
    <t>cmknzickj003pg8bztrmnrbgn</t>
  </si>
  <si>
    <t>2022-06-08T22:30:51.000+00:00</t>
  </si>
  <si>
    <t>2026-01-21T12:13:41.539+00:00</t>
  </si>
  <si>
    <t>cmknzibrc002ag8bz8gtt0c79</t>
  </si>
  <si>
    <t>2023-03-21T17:00:12.000+00:00</t>
  </si>
  <si>
    <t>Mikey</t>
  </si>
  <si>
    <t>2026-01-21T12:13:40.488+00:00</t>
  </si>
  <si>
    <t>cmknzid6a004yg8bzwdz0kqhq</t>
  </si>
  <si>
    <t>2021-12-01T22:56:05.000+00:00</t>
  </si>
  <si>
    <t>2026-01-21T12:13:42.322+00:00</t>
  </si>
  <si>
    <t>cmknzibz6002mg8bzrlrrvwij</t>
  </si>
  <si>
    <t>2023-01-18T17:58:04.000+00:00</t>
  </si>
  <si>
    <t>Carlee</t>
  </si>
  <si>
    <t>2026-01-21T12:13:40.770+00:00</t>
  </si>
  <si>
    <t>cmknzid2e004qg8bzwx0vrtv0</t>
  </si>
  <si>
    <t>2022-01-06T22:13:16.000+00:00</t>
  </si>
  <si>
    <t>2026-01-21T12:13:42.182+00:00</t>
  </si>
  <si>
    <t>cmknzic11002pg8bzfwpsk91o</t>
  </si>
  <si>
    <t>2023-01-03T17:58:05.000+00:00</t>
  </si>
  <si>
    <t>2026-01-21T12:13:40.837+00:00</t>
  </si>
  <si>
    <t>cmknzicvb004bg8bz2r184l81</t>
  </si>
  <si>
    <t>2022-02-25T22:14:40.000+00:00</t>
  </si>
  <si>
    <t>2026-01-21T12:13:41.927+00:00</t>
  </si>
  <si>
    <t>cmknzic2p002sg8bzv5bgr2yb</t>
  </si>
  <si>
    <t>2022-12-15T15:57:53.000+00:00</t>
  </si>
  <si>
    <t>2026-01-21T12:13:40.897+00:00</t>
  </si>
  <si>
    <t>cmknziaxy0010g8bzyei0oaae</t>
  </si>
  <si>
    <t>2025-10-01T12:28:09.000+00:00</t>
  </si>
  <si>
    <t>2026-01-21T12:13:39.430+00:00</t>
  </si>
  <si>
    <t>cmknzid3y004tg8bzk0xws1nt</t>
  </si>
  <si>
    <t>2021-12-27T21:43:06.000+00:00</t>
  </si>
  <si>
    <t>2026-01-21T12:13:42.238+00:00</t>
  </si>
  <si>
    <t>cmknzicel003cg8bz10mbrh2s</t>
  </si>
  <si>
    <t>2022-08-22T22:29:09.000+00:00</t>
  </si>
  <si>
    <t>2026-01-21T12:13:41.325+00:00</t>
  </si>
  <si>
    <t>cmknzib0c0014g8bzvihmm3mh</t>
  </si>
  <si>
    <t>2025-09-21T16:57:45.000+00:00</t>
  </si>
  <si>
    <t>2026-01-21T12:13:39.516+00:00</t>
  </si>
  <si>
    <t>cmknzibhc001ug8bz3iz5sn72</t>
  </si>
  <si>
    <t>2023-08-04T11:13:23.000+00:00</t>
  </si>
  <si>
    <t>2026-01-21T12:13:40.128+00:00</t>
  </si>
  <si>
    <t>cmknzidbg0059g8bzs0tdgnwa</t>
  </si>
  <si>
    <t>2021-10-11T22:29:33.000+00:00</t>
  </si>
  <si>
    <t>2026-01-21T12:13:42.508+00:00</t>
  </si>
  <si>
    <t>cmknzibsn002cg8bzpbvrmmxh</t>
  </si>
  <si>
    <t>2023-03-08T17:43:53.000+00:00</t>
  </si>
  <si>
    <t>2026-01-21T12:13:40.535+00:00</t>
  </si>
  <si>
    <t>cmknzib79001eg8bzlegul4dx</t>
  </si>
  <si>
    <t>2025-08-08T14:42:50.000+00:00</t>
  </si>
  <si>
    <t>2026-01-21T12:13:39.765+00:00</t>
  </si>
  <si>
    <t>cmknziat2000sg8bz4pdrr9e7</t>
  </si>
  <si>
    <t>2025-11-03T14:32:59.000+00:00</t>
  </si>
  <si>
    <t>2026-01-21T12:13:39.254+00:00</t>
  </si>
  <si>
    <t>cmknzibgp001tg8bzqghuvi71</t>
  </si>
  <si>
    <t>2023-08-19T11:57:54.000+00:00</t>
  </si>
  <si>
    <t>2026-01-21T12:13:40.104+00:00</t>
  </si>
  <si>
    <t>cmknziads0007g8bzj590tg12</t>
  </si>
  <si>
    <t>2026-01-06T14:34:06.000+00:00</t>
  </si>
  <si>
    <t>2026-01-21T12:13:38.704+00:00</t>
  </si>
  <si>
    <t>cmknziaot000mg8bzgpbs8b8c</t>
  </si>
  <si>
    <t>2025-11-19T14:31:43.000+00:00</t>
  </si>
  <si>
    <t>2026-01-21T12:13:39.101+00:00</t>
  </si>
  <si>
    <t>cmknzibc4001mg8bz8auvt7ht</t>
  </si>
  <si>
    <t>2025-07-07T14:42:47.000+00:00</t>
  </si>
  <si>
    <t>2026-01-21T12:13:39.940+00:00</t>
  </si>
  <si>
    <t>cmknzic38002tg8bzl1y2jz1c</t>
  </si>
  <si>
    <t>2022-12-14T17:57:56.000+00:00</t>
  </si>
  <si>
    <t>2026-01-21T12:13:40.916+00:00</t>
  </si>
  <si>
    <t>cmknzicj6003mg8bzjyb36j4c</t>
  </si>
  <si>
    <t>2022-06-24T21:13:06.000+00:00</t>
  </si>
  <si>
    <t>2026-01-21T12:13:41.489+00:00</t>
  </si>
  <si>
    <t>cmknzid930054g8bzeukjfzap</t>
  </si>
  <si>
    <t>2021-10-25T22:28:43.000+00:00</t>
  </si>
  <si>
    <t>2026-01-21T12:13:42.423+00:00</t>
  </si>
  <si>
    <t>cmknziaen0008g8bz1hiyqq6q</t>
  </si>
  <si>
    <t>2026-01-04T16:42:45.000+00:00</t>
  </si>
  <si>
    <t>Lamara Ambler</t>
  </si>
  <si>
    <t>2026-01-21T12:13:38.735+00:00</t>
  </si>
  <si>
    <t>cmknziaxd000zg8bzwxw2zmhn</t>
  </si>
  <si>
    <t>2025-10-08T12:29:21.000+00:00</t>
  </si>
  <si>
    <t>2026-01-21T12:13:39.409+00:00</t>
  </si>
  <si>
    <t>cmknzid3f004sg8bz3dymct6n</t>
  </si>
  <si>
    <t>2021-12-29T22:14:45.000+00:00</t>
  </si>
  <si>
    <t>Hannah</t>
  </si>
  <si>
    <t>2026-01-21T12:13:42.219+00:00</t>
  </si>
  <si>
    <t>cmknziauy000vg8bzil5ftt1i</t>
  </si>
  <si>
    <t>2025-10-24T13:37:46.000+00:00</t>
  </si>
  <si>
    <t>2026-01-21T12:13:39.322+00:00</t>
  </si>
  <si>
    <t>cmknziarm000qg8bzxs2c83jp</t>
  </si>
  <si>
    <t>2025-11-08T16:44:47.000+00:00</t>
  </si>
  <si>
    <t>2026-01-21T12:13:39.202+00:00</t>
  </si>
  <si>
    <t>cmknzic910032g8bzq3exqav1</t>
  </si>
  <si>
    <t>2022-10-13T21:13:17.000+00:00</t>
  </si>
  <si>
    <t>2026-01-21T12:13:41.125+00:00</t>
  </si>
  <si>
    <t>cmknzibph0027g8bz4u0pccja</t>
  </si>
  <si>
    <t>2023-04-18T16:57:50.000+00:00</t>
  </si>
  <si>
    <t>Cambrie</t>
  </si>
  <si>
    <t>2026-01-21T12:13:40.421+00:00</t>
  </si>
  <si>
    <t>cmknzibae001jg8bz16yjxke6</t>
  </si>
  <si>
    <t>2025-07-18T14:42:51.000+00:00</t>
  </si>
  <si>
    <t>2026-01-21T12:13:39.878+00:00</t>
  </si>
  <si>
    <t>cmknzid0k004mg8bz0v0btrim</t>
  </si>
  <si>
    <t>2022-01-24T23:29:18.000+00:00</t>
  </si>
  <si>
    <t>2026-01-21T12:13:42.116+00:00</t>
  </si>
  <si>
    <t>cmknzibhy001vg8bzwmvne8ty</t>
  </si>
  <si>
    <t>2023-07-19T21:12:49.000+00:00</t>
  </si>
  <si>
    <t>2026-01-21T12:13:40.150+00:00</t>
  </si>
  <si>
    <t>cmknziase000rg8bzfv1kr9e1</t>
  </si>
  <si>
    <t>2025-11-05T14:37:46.000+00:00</t>
  </si>
  <si>
    <t>2026-01-21T12:13:39.230+00:00</t>
  </si>
  <si>
    <t>cmknziazo0013g8bz8drtjjmn</t>
  </si>
  <si>
    <t>2025-09-25T12:28:40.000+00:00</t>
  </si>
  <si>
    <t>2026-01-21T12:13:39.492+00:00</t>
  </si>
  <si>
    <t>cmknzibfi001rg8bzk50qhgjj</t>
  </si>
  <si>
    <t>2023-09-11T10:58:10.000+00:00</t>
  </si>
  <si>
    <t>2026-01-21T12:13:40.062+00:00</t>
  </si>
  <si>
    <t>cmknzic3v002ug8bzh5fc5d7u</t>
  </si>
  <si>
    <t>2022-12-12T17:57:54.000+00:00</t>
  </si>
  <si>
    <t>2026-01-21T12:13:40.939+00:00</t>
  </si>
  <si>
    <t>cmknzibjj001yg8bzjxjauq26</t>
  </si>
  <si>
    <t>2023-06-26T16:43:29.000+00:00</t>
  </si>
  <si>
    <t>2026-01-21T12:13:40.207+00:00</t>
  </si>
  <si>
    <t>cmknziacc0005g8bzrjj6wnpp</t>
  </si>
  <si>
    <t>2026-01-11T16:44:00.000+00:00</t>
  </si>
  <si>
    <t>2026-01-21T12:13:38.652+00:00</t>
  </si>
  <si>
    <t>cmknzibs0002bg8bz6905sa92</t>
  </si>
  <si>
    <t>2023-03-13T16:57:59.000+00:00</t>
  </si>
  <si>
    <t>Training</t>
  </si>
  <si>
    <t>2026-01-21T12:13:40.512+00:00</t>
  </si>
  <si>
    <t>cmknzicxa004fg8bzwvo90gth</t>
  </si>
  <si>
    <t>2022-02-15T22:13:15.000+00:00</t>
  </si>
  <si>
    <t>2026-01-21T12:13:41.998+00:00</t>
  </si>
  <si>
    <t>cmknzicn2003ug8bzj23zn11i</t>
  </si>
  <si>
    <t>2022-05-11T22:31:51.000+00:00</t>
  </si>
  <si>
    <t>2026-01-21T12:13:41.630+00:00</t>
  </si>
  <si>
    <t>cmknzibn10023g8bzfm7ps06f</t>
  </si>
  <si>
    <t>2023-05-17T17:01:05.000+00:00</t>
  </si>
  <si>
    <t>Markus</t>
  </si>
  <si>
    <t>2026-01-21T12:13:40.333+00:00</t>
  </si>
  <si>
    <t>cmknzib4r001ag8bz107z2o2u</t>
  </si>
  <si>
    <t>2025-08-25T13:37:45.000+00:00</t>
  </si>
  <si>
    <t>2026-01-21T12:13:39.675+00:00</t>
  </si>
  <si>
    <t>cmknzibl40020g8bzoduc7tz6</t>
  </si>
  <si>
    <t>2023-06-15T16:58:31.000+00:00</t>
  </si>
  <si>
    <t>2026-01-21T12:13:40.264+00:00</t>
  </si>
  <si>
    <t>cmknzibvx002hg8bzan3rgiwm</t>
  </si>
  <si>
    <t>2023-02-16T17:58:06.000+00:00</t>
  </si>
  <si>
    <t>2026-01-21T12:13:40.653+00:00</t>
  </si>
  <si>
    <t>cmknzic8e0031g8bzsbl2dj7p</t>
  </si>
  <si>
    <t>2022-10-21T16:59:03.000+00:00</t>
  </si>
  <si>
    <t>Lindsay</t>
  </si>
  <si>
    <t>2026-01-21T12:13:41.102+00:00</t>
  </si>
  <si>
    <t>cmknzicon003xg8bz2mvr7245</t>
  </si>
  <si>
    <t>2022-05-04T22:38:02.000+00:00</t>
  </si>
  <si>
    <t>2026-01-21T12:13:41.687+00:00</t>
  </si>
  <si>
    <t>cmknzicwf004dg8bzivnez7q1</t>
  </si>
  <si>
    <t>2022-02-22T22:13:59.000+00:00</t>
  </si>
  <si>
    <t>2026-01-21T12:13:41.967+00:00</t>
  </si>
  <si>
    <t>cmknzid5s004xg8bzfdwg5lhk</t>
  </si>
  <si>
    <t>2021-12-03T18:02:22.000+00:00</t>
  </si>
  <si>
    <t>2026-01-21T12:13:42.304+00:00</t>
  </si>
  <si>
    <t>cmknzid5d004wg8bzryn1rca7</t>
  </si>
  <si>
    <t>2021-12-13T22:43:30.000+00:00</t>
  </si>
  <si>
    <t>Oakley</t>
  </si>
  <si>
    <t>Kennedy</t>
  </si>
  <si>
    <t>2026-01-21T12:13:42.289+00:00</t>
  </si>
  <si>
    <t>cmknzib97001hg8bzdts23vit</t>
  </si>
  <si>
    <t>2025-08-01T14:42:46.000+00:00</t>
  </si>
  <si>
    <t>2026-01-21T12:13:39.835+00:00</t>
  </si>
  <si>
    <t>cmknzibxa002jg8bzvkznio6p</t>
  </si>
  <si>
    <t>2023-02-07T17:43:10.000+00:00</t>
  </si>
  <si>
    <t>2026-01-21T12:13:40.702+00:00</t>
  </si>
  <si>
    <t>cmknzibe2001pg8bzv7xp5idt</t>
  </si>
  <si>
    <t>2025-06-27T14:42:48.000+00:00</t>
  </si>
  <si>
    <t>2026-01-21T12:13:40.010+00:00</t>
  </si>
  <si>
    <t>cmknziclg003rg8bzf4ieqopd</t>
  </si>
  <si>
    <t>2022-06-01T22:44:38.000+00:00</t>
  </si>
  <si>
    <t>2026-01-21T12:13:41.572+00:00</t>
  </si>
  <si>
    <t>cmknzid4g004ug8bzu59nnvnz</t>
  </si>
  <si>
    <t>2021-12-20T23:00:00.000+00:00</t>
  </si>
  <si>
    <t>2026-01-21T12:13:42.256+00:00</t>
  </si>
  <si>
    <t>cmknzid20004pg8bz7o8yqe5s</t>
  </si>
  <si>
    <t>2022-01-10T22:13:41.000+00:00</t>
  </si>
  <si>
    <t>2026-01-21T12:13:42.168+00:00</t>
  </si>
  <si>
    <t>cmknziaws000yg8bzkjc1j6bd</t>
  </si>
  <si>
    <t>2025-10-10T13:33:06.000+00:00</t>
  </si>
  <si>
    <t>2026-01-21T12:13:39.388+00:00</t>
  </si>
  <si>
    <t>cmknzibug002fg8bzetvw395l</t>
  </si>
  <si>
    <t>2023-02-23T17:59:36.000+00:00</t>
  </si>
  <si>
    <t>Genna</t>
  </si>
  <si>
    <t>2026-01-21T12:13:40.599+00:00</t>
  </si>
  <si>
    <t>cmknzibeo001qg8bzdr3i0jwq</t>
  </si>
  <si>
    <t>2023-10-18T11:14:22.000+00:00</t>
  </si>
  <si>
    <t>Shanna</t>
  </si>
  <si>
    <t>2026-01-21T12:13:40.032+00:00</t>
  </si>
  <si>
    <t>cmknziczn004kg8bzb2bj4n9k</t>
  </si>
  <si>
    <t>2022-01-31T22:14:07.000+00:00</t>
  </si>
  <si>
    <t>2026-01-21T12:13:42.083+00:00</t>
  </si>
  <si>
    <t>cmknzibow0026g8bzf336xpr9</t>
  </si>
  <si>
    <t>2023-04-20T16:58:26.000+00:00</t>
  </si>
  <si>
    <t>2026-01-21T12:13:40.400+00:00</t>
  </si>
  <si>
    <t>cmknzib100015g8bzcdgsfzbl</t>
  </si>
  <si>
    <t>2025-09-19T13:37:45.000+00:00</t>
  </si>
  <si>
    <t>2026-01-21T12:13:39.540+00:00</t>
  </si>
  <si>
    <t>cmknzibqo0029g8bz1ayku320</t>
  </si>
  <si>
    <t>2023-03-30T16:58:07.000+00:00</t>
  </si>
  <si>
    <t>2026-01-21T12:13:40.464+00:00</t>
  </si>
  <si>
    <t>cmknzic1o002qg8bzps9fhb1w</t>
  </si>
  <si>
    <t>2023-01-02T17:58:21.000+00:00</t>
  </si>
  <si>
    <t>2026-01-21T12:13:40.859+00:00</t>
  </si>
  <si>
    <t>cmknziagl000bg8bztugwg899</t>
  </si>
  <si>
    <t>2025-12-28T15:30:57.000+00:00</t>
  </si>
  <si>
    <t>2026-01-21T12:13:38.805+00:00</t>
  </si>
  <si>
    <t>cmknziajw000fg8bzqugulvmi</t>
  </si>
  <si>
    <t>2025-12-14T16:44:20.000+00:00</t>
  </si>
  <si>
    <t>2026-01-21T12:13:38.924+00:00</t>
  </si>
  <si>
    <t>cmknziblr0021g8bz0fx1dfy4</t>
  </si>
  <si>
    <t>2023-06-13T16:43:06.000+00:00</t>
  </si>
  <si>
    <t>2026-01-21T12:13:40.287+00:00</t>
  </si>
  <si>
    <t>cmknzicwt004eg8bzh3k8xtrt</t>
  </si>
  <si>
    <t>2022-02-17T22:13:54.000+00:00</t>
  </si>
  <si>
    <t>2026-01-21T12:13:41.981+00:00</t>
  </si>
  <si>
    <t>cmknzid0y004ng8bz24ul8cb0</t>
  </si>
  <si>
    <t>2022-01-14T22:14:01.000+00:00</t>
  </si>
  <si>
    <t>2026-01-21T12:13:42.130+00:00</t>
  </si>
  <si>
    <t>cmknzia9p0002g8bz2zgb1fph</t>
  </si>
  <si>
    <t>2026-01-18T16:44:43.000+00:00</t>
  </si>
  <si>
    <t>2026-01-21T12:13:38.557+00:00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</si>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</sst>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-409]m/d/yy\ h:mm\ AM/PM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164" fontId="0" fillId="0" borderId="0" xfId="0" applyNumberFormat="1"/>
    <xf numFmtId="165" fontId="0" fillId="0" borderId="0" xfId="0" applyNumberFormat="1"/>
    <xf numFmtId="1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23" formatCode="h:mm\ AM/PM"/>
    </dxf>
    <dxf>
      <numFmt numFmtId="0" formatCode="General"/>
    </dxf>
    <dxf>
      <numFmt numFmtId="165" formatCode="[$-409]m/d/yy\ h:mm\ AM/PM;@"/>
    </dxf>
    <dxf>
      <numFmt numFmtId="0" formatCode="General"/>
    </dxf>
    <dxf>
      <numFmt numFmtId="0" formatCode="General"/>
    </dxf>
    <dxf>
      <numFmt numFmtId="165" formatCode="[$-409]m/d/yy\ h:mm\ AM/PM;@"/>
    </dxf>
    <dxf>
      <numFmt numFmtId="165" formatCode="[$-409]m/d/yy\ h:mm\ AM/PM;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34CDAE-1731-4810-B0A9-AA4AE0E84CAD}" name="WorkoutData_old" displayName="WorkoutData_old" ref="A1:V192" totalsRowShown="0">
  <autoFilter ref="A1:V192" xr:uid="{E734CDAE-1731-4810-B0A9-AA4AE0E84CAD}"/>
  <sortState xmlns:xlrd2="http://schemas.microsoft.com/office/spreadsheetml/2017/richdata2" ref="A2:V192">
    <sortCondition descending="1" ref="E1:E192"/>
  </sortState>
  <tableColumns count="22">
    <tableColumn id="1" xr3:uid="{8F641307-B678-4F12-9886-967829D07C6E}" name="id"/>
    <tableColumn id="2" xr3:uid="{637A7069-4B5C-4546-BDF8-FB2A1E048A63}" name="gmailMessageId"/>
    <tableColumn id="3" xr3:uid="{FF251E8C-3058-40DB-A7D1-40E95342E909}" name="emailDate"/>
    <tableColumn id="20" xr3:uid="{7367C0F5-1D2A-4373-828E-0B391ADB7F85}" name="Date" dataDxfId="7">
      <calculatedColumnFormula>LEFT(C2,10) &amp; "." &amp; RIGHT(C2,3)</calculatedColumnFormula>
    </tableColumn>
    <tableColumn id="21" xr3:uid="{58323C3C-CDAC-448A-9354-DF904EB1A586}" name="HelperDate" dataDxfId="6">
      <calculatedColumnFormula>(((D2/60)/60)/24)+DATE(1970,1,1)</calculatedColumnFormula>
    </tableColumn>
    <tableColumn id="22" xr3:uid="{E24B2851-0B3A-47A0-8522-C4AF0D3F8F83}" name="WorkoutType" dataDxfId="5"/>
    <tableColumn id="4" xr3:uid="{A348C787-6F6A-4AF2-BDE8-2C176D23A75E}" name="caloriesBurned"/>
    <tableColumn id="5" xr3:uid="{3D9682CA-4A13-4FA6-BF88-F4C858CD653F}" name="splatPoints"/>
    <tableColumn id="6" xr3:uid="{3BEA24AF-C242-491C-83AD-38B99B59AE0E}" name="avgHeartRate"/>
    <tableColumn id="7" xr3:uid="{A7741BE3-3C54-456D-8E60-57BE7D13B475}" name="peakHeartRate"/>
    <tableColumn id="8" xr3:uid="{5093A013-F08C-4442-A8CC-542B0FAB99C8}" name="steps"/>
    <tableColumn id="9" xr3:uid="{18B62771-5E9A-47C7-852F-50F74FB37D52}" name="treadmillDistance"/>
    <tableColumn id="10" xr3:uid="{D6ACF5AA-3BED-4202-A4C9-22B2D2CB8EF2}" name="treadmillTime"/>
    <tableColumn id="11" xr3:uid="{7F6FBCA5-874E-48E3-AAFF-778C29EE5E8A}" name="rowingDistance"/>
    <tableColumn id="12" xr3:uid="{159C69CA-87A9-4588-AA9E-C7604F1142E1}" name="rowingTime"/>
    <tableColumn id="13" xr3:uid="{191CD0C7-306B-4059-B65D-8AE996A15320}" name="activeMinutes"/>
    <tableColumn id="14" xr3:uid="{4DE80D20-599E-44C5-977E-F1558882C60F}" name="minutesInGrayZone"/>
    <tableColumn id="15" xr3:uid="{461808FF-B488-4005-A95F-93E3BD1E893B}" name="minutesInBlueZone"/>
    <tableColumn id="16" xr3:uid="{1E3DD95E-7B63-48CF-B222-FFBDF7DF7188}" name="minutesInGreenZone"/>
    <tableColumn id="17" xr3:uid="{6803E15C-BA85-4B7B-895B-032D85F6ED8E}" name="minutesInOrangeZone"/>
    <tableColumn id="18" xr3:uid="{B30F3E8E-6EA7-41F9-B100-968F7C461215}" name="minutesInRedZone"/>
    <tableColumn id="19" xr3:uid="{D90BD7F3-1C62-483D-BFC2-08FC77760960}" name="createdA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3C148C-C6CF-4FD8-97FE-7FB516A60EC9}" name="WorkoutData" displayName="WorkoutData" ref="A1:AO193" totalsRowShown="0">
  <autoFilter ref="A1:AO193" xr:uid="{2B17428B-5E6E-419B-A57B-EB0944813F99}"/>
  <sortState xmlns:xlrd2="http://schemas.microsoft.com/office/spreadsheetml/2017/richdata2" ref="A2:AO193">
    <sortCondition ref="F1:F193"/>
  </sortState>
  <tableColumns count="41">
    <tableColumn id="1" xr3:uid="{BBD1FCC9-3DA8-4060-BA33-90B0FE93F168}" name="id"/>
    <tableColumn id="3" xr3:uid="{CC3C7B1D-8E4B-42ED-A1B4-8D3EF8CE0C27}" name="gmailMessageId"/>
    <tableColumn id="4" xr3:uid="{D1B737D6-45E0-410E-A03E-F1168E43EE21}" name="timeStamp"/>
    <tableColumn id="42" xr3:uid="{E350FAB8-0D47-4EED-84A0-3FB43FAC304F}" name="emailDate" dataDxfId="4">
      <calculatedColumnFormula>ROUND(
  (
    --SUBSTITUTE(LEFT(C2,19),"T"," ")
    - DATE(1970,1,1)
  ) * 86400000,
  0
)</calculatedColumnFormula>
    </tableColumn>
    <tableColumn id="39" xr3:uid="{1E5D71D6-B120-4D86-A623-64D928B16CFA}" name="Date" dataDxfId="3">
      <calculatedColumnFormula>LEFT(D2,10) &amp; "." &amp; RIGHT(D2,3)</calculatedColumnFormula>
    </tableColumn>
    <tableColumn id="40" xr3:uid="{BE6CEFA5-6F2C-4E67-9A4F-3D64D2E07130}" name="HelperDate" dataDxfId="2">
      <calculatedColumnFormula>(((E2/60)/60)/24)+DATE(1970,1,1)</calculatedColumnFormula>
    </tableColumn>
    <tableColumn id="41" xr3:uid="{85D9F4B6-E003-4DA7-BDFD-CE94D853643E}" name="WorkoutType" dataDxfId="1">
      <calculatedColumnFormula>_xlfn.XLOOKUP(
  WorkoutData[[#This Row],[gmailMessageId]],
  WorkoutData_old[gmailMessageId],
  WorkoutData_old[WorkoutType]
)</calculatedColumnFormula>
    </tableColumn>
    <tableColumn id="5" xr3:uid="{3E597F5D-A0E8-4C48-8CA4-C0F26089610D}" name="classTime" dataDxfId="0"/>
    <tableColumn id="6" xr3:uid="{684DF9C6-4E54-4AF4-A437-E19AC206EBDA}" name="studioLocation"/>
    <tableColumn id="7" xr3:uid="{D98F8C8A-66C5-41DF-ACF8-1685B1816A56}" name="classInstructor"/>
    <tableColumn id="8" xr3:uid="{829D6840-C010-4DED-A0D7-FA8657892D6D}" name="caloriesBurned"/>
    <tableColumn id="9" xr3:uid="{2F29EB13-EF67-4AC0-8757-B73FDCDA150D}" name="splatPoints"/>
    <tableColumn id="10" xr3:uid="{57967439-E453-4053-9926-245D0C1A7E41}" name="avgHeartRate"/>
    <tableColumn id="11" xr3:uid="{38E46F31-84EE-456C-B8C5-97A79DECAF2F}" name="peakHeartRate"/>
    <tableColumn id="12" xr3:uid="{696809C7-A6ED-46E2-80CA-6238BEDCCE4C}" name="steps"/>
    <tableColumn id="13" xr3:uid="{5D93B9DB-CC10-4BD8-9578-E5DB41F11A52}" name="treadmillDistance"/>
    <tableColumn id="14" xr3:uid="{A41749ED-039B-4055-B2BC-B682C0B43221}" name="treadmillTime"/>
    <tableColumn id="15" xr3:uid="{24A86076-41F6-4411-A7F3-5B169FE0215B}" name="treadmillAvgSpeed"/>
    <tableColumn id="16" xr3:uid="{3E8AF8C7-6CDC-44CC-AC18-AB2FF256457C}" name="treadmillMaxSpeed"/>
    <tableColumn id="17" xr3:uid="{20F9EC2D-DB6E-4A0F-B662-30F4C6F270ED}" name="treadmillAvgIncline"/>
    <tableColumn id="18" xr3:uid="{92255452-2116-4A26-9788-17A745F416A4}" name="treadmillMaxIncline"/>
    <tableColumn id="19" xr3:uid="{F8DC3500-65F3-4792-9C32-004C84C90C91}" name="treadmillAvgPace"/>
    <tableColumn id="20" xr3:uid="{FABBC51E-ADD3-469F-8336-9E92FD7BC66F}" name="treadmillFastestPace"/>
    <tableColumn id="21" xr3:uid="{E7DD050E-070C-48D1-A642-F263C1859C95}" name="treadmillElevation"/>
    <tableColumn id="22" xr3:uid="{3986EBBB-ABC4-44CC-8464-CC9B1C7CEC83}" name="rowingDistance"/>
    <tableColumn id="23" xr3:uid="{CBC740C5-23A6-41E0-91B5-1201A96E0602}" name="rowingTime"/>
    <tableColumn id="24" xr3:uid="{CE6BD56F-ACEE-4E27-BF53-9EF38D21C13B}" name="rowingAvgWattage"/>
    <tableColumn id="25" xr3:uid="{51300458-8A34-49E4-979B-E8E314725E40}" name="rowingMaxWattage"/>
    <tableColumn id="26" xr3:uid="{D276FE86-D561-47D4-91DB-CAE6E84F4908}" name="rowingAvgSpeed"/>
    <tableColumn id="27" xr3:uid="{4ABAEAED-6155-4F0B-A5C9-FBB7C596FC86}" name="rowingMaxSpeed"/>
    <tableColumn id="28" xr3:uid="{9575DE4D-E735-416D-B077-A93F55F190D8}" name="rowing500mSplit"/>
    <tableColumn id="29" xr3:uid="{C48AAE07-F7FE-4F15-B4C1-C7A18E0F43D7}" name="rowingMax500mSplit"/>
    <tableColumn id="30" xr3:uid="{3D7E3B75-851B-4015-93B9-63164BC3BD79}" name="rowingAvgStrokeRate"/>
    <tableColumn id="31" xr3:uid="{878682C6-DFF7-45F0-B05D-3372AB939F6E}" name="activeMinutes"/>
    <tableColumn id="32" xr3:uid="{DD47A7C9-61F3-40D2-A243-2ABF526792B4}" name="minutesInGrayZone"/>
    <tableColumn id="33" xr3:uid="{3997F852-981E-40B3-9D83-56D79430BC70}" name="minutesInBlueZone"/>
    <tableColumn id="34" xr3:uid="{959B6D35-F722-43CF-ADEC-68E98A6E400A}" name="minutesInGreenZone"/>
    <tableColumn id="35" xr3:uid="{27A6D97B-3B8C-41AF-8307-B1E1901FA5F7}" name="minutesInOrangeZone"/>
    <tableColumn id="36" xr3:uid="{97C0A331-EA88-4BAA-9ABD-3880C0DEF78B}" name="minutesInRedZone"/>
    <tableColumn id="37" xr3:uid="{ABC88137-E16F-4EBD-9E68-286EB4CCA808}" name="createdAt"/>
    <tableColumn id="38" xr3:uid="{421D4B67-A048-4465-99D9-970571543F77}" name="updated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B76A7-FF5D-4C24-8464-51EE65903983}">
  <dimension ref="A1:X192"/>
  <sheetViews>
    <sheetView workbookViewId="0">
      <selection activeCell="F2" sqref="F2"/>
    </sheetView>
  </sheetViews>
  <sheetFormatPr defaultRowHeight="15" x14ac:dyDescent="0.25"/>
  <cols>
    <col min="2" max="2" width="17.5703125" customWidth="1"/>
    <col min="3" max="3" width="17.42578125" customWidth="1"/>
    <col min="4" max="4" width="12.28515625" customWidth="1"/>
    <col min="5" max="5" width="17.42578125" bestFit="1" customWidth="1"/>
    <col min="6" max="6" width="17.42578125" customWidth="1"/>
    <col min="7" max="7" width="16.42578125" customWidth="1"/>
    <col min="8" max="8" width="13" customWidth="1"/>
    <col min="9" max="9" width="15" customWidth="1"/>
    <col min="10" max="10" width="16.28515625" customWidth="1"/>
    <col min="12" max="12" width="18.85546875" customWidth="1"/>
    <col min="13" max="13" width="15.7109375" customWidth="1"/>
    <col min="14" max="14" width="16.85546875" customWidth="1"/>
    <col min="15" max="15" width="13.7109375" customWidth="1"/>
    <col min="16" max="16" width="15.85546875" customWidth="1"/>
    <col min="17" max="17" width="20.7109375" customWidth="1"/>
    <col min="18" max="18" width="20.5703125" customWidth="1"/>
    <col min="19" max="19" width="22.140625" customWidth="1"/>
    <col min="20" max="20" width="23" customWidth="1"/>
    <col min="21" max="21" width="20" customWidth="1"/>
    <col min="22" max="22" width="11.85546875" customWidth="1"/>
    <col min="24" max="24" width="18.28515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399</v>
      </c>
      <c r="E1" t="s">
        <v>408</v>
      </c>
      <c r="F1" t="s">
        <v>407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</row>
    <row r="2" spans="1:24" x14ac:dyDescent="0.25">
      <c r="A2" t="s">
        <v>410</v>
      </c>
      <c r="B2" t="s">
        <v>409</v>
      </c>
      <c r="C2">
        <v>1768754683000</v>
      </c>
      <c r="D2" t="str">
        <f t="shared" ref="D2:D33" si="0">LEFT(C2,10) &amp; "." &amp; RIGHT(C2,3)</f>
        <v>1768754683.000</v>
      </c>
      <c r="E2" s="3">
        <f t="shared" ref="E2:E33" si="1">(((D2/60)/60)/24)+DATE(1970,1,1)</f>
        <v>46040.697719907403</v>
      </c>
      <c r="F2" s="3" t="s">
        <v>411</v>
      </c>
      <c r="G2">
        <v>1007</v>
      </c>
      <c r="H2">
        <v>41</v>
      </c>
      <c r="I2">
        <v>167</v>
      </c>
      <c r="J2">
        <v>186</v>
      </c>
      <c r="K2">
        <v>4080</v>
      </c>
      <c r="L2">
        <v>2.08</v>
      </c>
      <c r="M2">
        <v>1008</v>
      </c>
      <c r="N2">
        <v>4038</v>
      </c>
      <c r="O2">
        <v>1047</v>
      </c>
      <c r="P2">
        <v>57</v>
      </c>
      <c r="Q2">
        <v>0</v>
      </c>
      <c r="R2">
        <v>1</v>
      </c>
      <c r="S2">
        <v>15</v>
      </c>
      <c r="T2">
        <v>38</v>
      </c>
      <c r="U2">
        <v>3</v>
      </c>
      <c r="V2">
        <v>1768771348811</v>
      </c>
      <c r="X2" s="2"/>
    </row>
    <row r="3" spans="1:24" x14ac:dyDescent="0.25">
      <c r="A3" t="s">
        <v>19</v>
      </c>
      <c r="B3" t="s">
        <v>20</v>
      </c>
      <c r="C3">
        <v>1768487491000</v>
      </c>
      <c r="D3" t="str">
        <f t="shared" si="0"/>
        <v>1768487491.000</v>
      </c>
      <c r="E3" s="3">
        <f t="shared" si="1"/>
        <v>46037.605219907404</v>
      </c>
      <c r="F3" t="s">
        <v>405</v>
      </c>
      <c r="G3">
        <v>795</v>
      </c>
      <c r="H3">
        <v>23</v>
      </c>
      <c r="I3">
        <v>147</v>
      </c>
      <c r="J3">
        <v>181</v>
      </c>
      <c r="K3">
        <v>5438</v>
      </c>
      <c r="L3">
        <v>3.58</v>
      </c>
      <c r="M3">
        <v>1802</v>
      </c>
      <c r="N3">
        <v>922</v>
      </c>
      <c r="O3">
        <v>189</v>
      </c>
      <c r="P3">
        <v>55</v>
      </c>
      <c r="Q3">
        <v>11</v>
      </c>
      <c r="R3">
        <v>3</v>
      </c>
      <c r="S3">
        <v>18</v>
      </c>
      <c r="T3">
        <v>23</v>
      </c>
      <c r="U3">
        <v>0</v>
      </c>
      <c r="V3">
        <v>1768614442225</v>
      </c>
    </row>
    <row r="4" spans="1:24" x14ac:dyDescent="0.25">
      <c r="A4" t="s">
        <v>21</v>
      </c>
      <c r="B4" t="s">
        <v>22</v>
      </c>
      <c r="C4">
        <v>1768314772000</v>
      </c>
      <c r="D4" t="str">
        <f t="shared" si="0"/>
        <v>1768314772.000</v>
      </c>
      <c r="E4" s="3">
        <f t="shared" si="1"/>
        <v>46035.606157407412</v>
      </c>
      <c r="F4" t="s">
        <v>405</v>
      </c>
      <c r="G4">
        <v>604</v>
      </c>
      <c r="H4">
        <v>14</v>
      </c>
      <c r="I4">
        <v>126</v>
      </c>
      <c r="J4">
        <v>179</v>
      </c>
      <c r="K4">
        <v>3685</v>
      </c>
      <c r="L4">
        <v>1.97</v>
      </c>
      <c r="M4">
        <v>924</v>
      </c>
      <c r="N4">
        <v>1661</v>
      </c>
      <c r="O4">
        <v>334</v>
      </c>
      <c r="P4">
        <v>56</v>
      </c>
      <c r="Q4">
        <v>30</v>
      </c>
      <c r="R4">
        <v>3</v>
      </c>
      <c r="S4">
        <v>9</v>
      </c>
      <c r="T4">
        <v>14</v>
      </c>
      <c r="U4">
        <v>0</v>
      </c>
      <c r="V4">
        <v>1768614442283</v>
      </c>
    </row>
    <row r="5" spans="1:24" x14ac:dyDescent="0.25">
      <c r="A5" t="s">
        <v>23</v>
      </c>
      <c r="B5" t="s">
        <v>24</v>
      </c>
      <c r="C5">
        <v>1768149840000</v>
      </c>
      <c r="D5" t="str">
        <f t="shared" si="0"/>
        <v>1768149840.000</v>
      </c>
      <c r="E5" s="3">
        <f t="shared" si="1"/>
        <v>46033.697222222225</v>
      </c>
      <c r="F5" t="s">
        <v>403</v>
      </c>
      <c r="G5">
        <v>919</v>
      </c>
      <c r="H5">
        <v>26</v>
      </c>
      <c r="I5">
        <v>159</v>
      </c>
      <c r="J5">
        <v>185</v>
      </c>
      <c r="K5">
        <v>4389</v>
      </c>
      <c r="L5">
        <v>2.37</v>
      </c>
      <c r="M5">
        <v>1139</v>
      </c>
      <c r="N5">
        <v>986</v>
      </c>
      <c r="O5">
        <v>299</v>
      </c>
      <c r="P5">
        <v>57</v>
      </c>
      <c r="Q5">
        <v>2</v>
      </c>
      <c r="R5">
        <v>4</v>
      </c>
      <c r="S5">
        <v>25</v>
      </c>
      <c r="T5">
        <v>23</v>
      </c>
      <c r="U5">
        <v>3</v>
      </c>
      <c r="V5">
        <v>1768614442326</v>
      </c>
    </row>
    <row r="6" spans="1:24" x14ac:dyDescent="0.25">
      <c r="A6" t="s">
        <v>25</v>
      </c>
      <c r="B6" t="s">
        <v>26</v>
      </c>
      <c r="C6">
        <v>1767969119000</v>
      </c>
      <c r="D6" t="str">
        <f t="shared" si="0"/>
        <v>1767969119.000</v>
      </c>
      <c r="E6" s="3">
        <f t="shared" si="1"/>
        <v>46031.605543981481</v>
      </c>
      <c r="F6" t="s">
        <v>406</v>
      </c>
      <c r="G6">
        <v>844</v>
      </c>
      <c r="H6">
        <v>22</v>
      </c>
      <c r="I6">
        <v>152</v>
      </c>
      <c r="J6">
        <v>183</v>
      </c>
      <c r="K6">
        <v>3223</v>
      </c>
      <c r="L6">
        <v>1.87</v>
      </c>
      <c r="M6">
        <v>967</v>
      </c>
      <c r="N6">
        <v>3665</v>
      </c>
      <c r="O6">
        <v>1112</v>
      </c>
      <c r="P6">
        <v>56</v>
      </c>
      <c r="Q6">
        <v>8</v>
      </c>
      <c r="R6">
        <v>2</v>
      </c>
      <c r="S6">
        <v>24</v>
      </c>
      <c r="T6">
        <v>22</v>
      </c>
      <c r="U6">
        <v>0</v>
      </c>
      <c r="V6">
        <v>1768614442356</v>
      </c>
    </row>
    <row r="7" spans="1:24" x14ac:dyDescent="0.25">
      <c r="A7" t="s">
        <v>27</v>
      </c>
      <c r="B7" t="s">
        <v>28</v>
      </c>
      <c r="C7">
        <v>1767710046000</v>
      </c>
      <c r="D7" t="str">
        <f t="shared" si="0"/>
        <v>1767710046.000</v>
      </c>
      <c r="E7" s="3">
        <f t="shared" si="1"/>
        <v>46028.60701388889</v>
      </c>
      <c r="F7" t="s">
        <v>405</v>
      </c>
      <c r="G7">
        <v>889</v>
      </c>
      <c r="H7">
        <v>26</v>
      </c>
      <c r="I7">
        <v>155</v>
      </c>
      <c r="J7">
        <v>185</v>
      </c>
      <c r="K7">
        <v>5008</v>
      </c>
      <c r="L7">
        <v>3.06</v>
      </c>
      <c r="M7">
        <v>1580</v>
      </c>
      <c r="N7">
        <v>2525</v>
      </c>
      <c r="O7">
        <v>731</v>
      </c>
      <c r="P7">
        <v>57</v>
      </c>
      <c r="Q7">
        <v>6</v>
      </c>
      <c r="R7">
        <v>4</v>
      </c>
      <c r="S7">
        <v>21</v>
      </c>
      <c r="T7">
        <v>24</v>
      </c>
      <c r="U7">
        <v>2</v>
      </c>
      <c r="V7">
        <v>1768614442387</v>
      </c>
    </row>
    <row r="8" spans="1:24" x14ac:dyDescent="0.25">
      <c r="A8" t="s">
        <v>29</v>
      </c>
      <c r="B8" t="s">
        <v>30</v>
      </c>
      <c r="C8">
        <v>1767544965000</v>
      </c>
      <c r="D8" t="str">
        <f t="shared" si="0"/>
        <v>1767544965.000</v>
      </c>
      <c r="E8" s="3">
        <f t="shared" si="1"/>
        <v>46026.696354166663</v>
      </c>
      <c r="F8" t="s">
        <v>403</v>
      </c>
      <c r="G8">
        <v>898</v>
      </c>
      <c r="H8">
        <v>32</v>
      </c>
      <c r="I8">
        <v>162</v>
      </c>
      <c r="J8">
        <v>183</v>
      </c>
      <c r="K8">
        <v>4616</v>
      </c>
      <c r="L8">
        <v>2.69</v>
      </c>
      <c r="M8">
        <v>1429</v>
      </c>
      <c r="N8">
        <v>2043</v>
      </c>
      <c r="O8">
        <v>627</v>
      </c>
      <c r="P8">
        <v>54</v>
      </c>
      <c r="Q8">
        <v>3</v>
      </c>
      <c r="R8">
        <v>3</v>
      </c>
      <c r="S8">
        <v>16</v>
      </c>
      <c r="T8">
        <v>31</v>
      </c>
      <c r="U8">
        <v>1</v>
      </c>
      <c r="V8">
        <v>1768614442422</v>
      </c>
    </row>
    <row r="9" spans="1:24" x14ac:dyDescent="0.25">
      <c r="A9" t="s">
        <v>31</v>
      </c>
      <c r="B9" t="s">
        <v>32</v>
      </c>
      <c r="C9">
        <v>1767373156000</v>
      </c>
      <c r="D9" t="str">
        <f t="shared" si="0"/>
        <v>1767373156.000</v>
      </c>
      <c r="E9" s="3">
        <f t="shared" si="1"/>
        <v>46024.707824074074</v>
      </c>
      <c r="F9" t="s">
        <v>405</v>
      </c>
      <c r="G9">
        <v>702</v>
      </c>
      <c r="H9">
        <v>24</v>
      </c>
      <c r="I9">
        <v>132</v>
      </c>
      <c r="J9">
        <v>188</v>
      </c>
      <c r="K9">
        <v>4604</v>
      </c>
      <c r="L9">
        <v>2.88</v>
      </c>
      <c r="M9">
        <v>1493</v>
      </c>
      <c r="P9">
        <v>59</v>
      </c>
      <c r="Q9">
        <v>24</v>
      </c>
      <c r="R9">
        <v>4</v>
      </c>
      <c r="S9">
        <v>7</v>
      </c>
      <c r="T9">
        <v>20</v>
      </c>
      <c r="U9">
        <v>4</v>
      </c>
      <c r="V9">
        <v>1768614442449</v>
      </c>
    </row>
    <row r="10" spans="1:24" x14ac:dyDescent="0.25">
      <c r="A10" t="s">
        <v>33</v>
      </c>
      <c r="B10" t="s">
        <v>34</v>
      </c>
      <c r="C10">
        <v>1767101328000</v>
      </c>
      <c r="D10" t="str">
        <f t="shared" si="0"/>
        <v>1767101328.000</v>
      </c>
      <c r="E10" s="3">
        <f t="shared" si="1"/>
        <v>46021.561666666668</v>
      </c>
      <c r="F10" t="s">
        <v>405</v>
      </c>
      <c r="G10">
        <v>760</v>
      </c>
      <c r="H10">
        <v>23</v>
      </c>
      <c r="I10">
        <v>148</v>
      </c>
      <c r="J10">
        <v>187</v>
      </c>
      <c r="K10">
        <v>4142</v>
      </c>
      <c r="L10">
        <v>3.07</v>
      </c>
      <c r="M10">
        <v>1513</v>
      </c>
      <c r="N10">
        <v>1068</v>
      </c>
      <c r="O10">
        <v>210</v>
      </c>
      <c r="P10">
        <v>54</v>
      </c>
      <c r="Q10">
        <v>13</v>
      </c>
      <c r="R10">
        <v>2</v>
      </c>
      <c r="S10">
        <v>16</v>
      </c>
      <c r="T10">
        <v>18</v>
      </c>
      <c r="U10">
        <v>5</v>
      </c>
      <c r="V10">
        <v>1768614442490</v>
      </c>
    </row>
    <row r="11" spans="1:24" x14ac:dyDescent="0.25">
      <c r="A11" t="s">
        <v>35</v>
      </c>
      <c r="B11" t="s">
        <v>36</v>
      </c>
      <c r="C11">
        <v>1766935857000</v>
      </c>
      <c r="D11" t="str">
        <f t="shared" si="0"/>
        <v>1766935857.000</v>
      </c>
      <c r="E11" s="3">
        <f t="shared" si="1"/>
        <v>46019.646493055552</v>
      </c>
      <c r="F11" t="s">
        <v>406</v>
      </c>
      <c r="G11">
        <v>987</v>
      </c>
      <c r="H11">
        <v>29</v>
      </c>
      <c r="I11">
        <v>161</v>
      </c>
      <c r="J11">
        <v>185</v>
      </c>
      <c r="K11">
        <v>3553</v>
      </c>
      <c r="L11">
        <v>1.98</v>
      </c>
      <c r="M11">
        <v>1006</v>
      </c>
      <c r="N11">
        <v>3214</v>
      </c>
      <c r="O11">
        <v>767</v>
      </c>
      <c r="P11">
        <v>60</v>
      </c>
      <c r="Q11">
        <v>1</v>
      </c>
      <c r="R11">
        <v>3</v>
      </c>
      <c r="S11">
        <v>27</v>
      </c>
      <c r="T11">
        <v>26</v>
      </c>
      <c r="U11">
        <v>3</v>
      </c>
      <c r="V11">
        <v>1768614442516</v>
      </c>
    </row>
    <row r="12" spans="1:24" x14ac:dyDescent="0.25">
      <c r="A12" t="s">
        <v>37</v>
      </c>
      <c r="B12" t="s">
        <v>38</v>
      </c>
      <c r="C12">
        <v>1766335449000</v>
      </c>
      <c r="D12" t="str">
        <f t="shared" si="0"/>
        <v>1766335449.000</v>
      </c>
      <c r="E12" s="3">
        <f t="shared" si="1"/>
        <v>46012.697326388887</v>
      </c>
      <c r="F12" t="s">
        <v>403</v>
      </c>
      <c r="G12">
        <v>788</v>
      </c>
      <c r="H12">
        <v>25</v>
      </c>
      <c r="I12">
        <v>142</v>
      </c>
      <c r="J12">
        <v>196</v>
      </c>
      <c r="K12">
        <v>3130</v>
      </c>
      <c r="L12">
        <v>2.3199999999999998</v>
      </c>
      <c r="M12">
        <v>914</v>
      </c>
      <c r="N12">
        <v>2532</v>
      </c>
      <c r="O12">
        <v>535</v>
      </c>
      <c r="P12">
        <v>58</v>
      </c>
      <c r="Q12">
        <v>19</v>
      </c>
      <c r="R12">
        <v>3</v>
      </c>
      <c r="S12">
        <v>11</v>
      </c>
      <c r="T12">
        <v>16</v>
      </c>
      <c r="U12">
        <v>9</v>
      </c>
      <c r="V12">
        <v>1768614442553</v>
      </c>
    </row>
    <row r="13" spans="1:24" x14ac:dyDescent="0.25">
      <c r="A13" t="s">
        <v>39</v>
      </c>
      <c r="B13" t="s">
        <v>40</v>
      </c>
      <c r="C13">
        <v>1766154809000</v>
      </c>
      <c r="D13" t="str">
        <f t="shared" si="0"/>
        <v>1766154809.000</v>
      </c>
      <c r="E13" s="3">
        <f t="shared" si="1"/>
        <v>46010.606585648144</v>
      </c>
      <c r="F13" t="s">
        <v>406</v>
      </c>
      <c r="G13">
        <v>843</v>
      </c>
      <c r="H13">
        <v>16</v>
      </c>
      <c r="I13">
        <v>151</v>
      </c>
      <c r="J13">
        <v>180</v>
      </c>
      <c r="K13">
        <v>3513</v>
      </c>
      <c r="L13">
        <v>1.83</v>
      </c>
      <c r="M13">
        <v>971</v>
      </c>
      <c r="N13">
        <v>4246</v>
      </c>
      <c r="O13">
        <v>1056</v>
      </c>
      <c r="P13">
        <v>57</v>
      </c>
      <c r="Q13">
        <v>6</v>
      </c>
      <c r="R13">
        <v>5</v>
      </c>
      <c r="S13">
        <v>30</v>
      </c>
      <c r="T13">
        <v>16</v>
      </c>
      <c r="U13">
        <v>0</v>
      </c>
      <c r="V13">
        <v>1768614442595</v>
      </c>
    </row>
    <row r="14" spans="1:24" x14ac:dyDescent="0.25">
      <c r="A14" t="s">
        <v>41</v>
      </c>
      <c r="B14" t="s">
        <v>42</v>
      </c>
      <c r="C14">
        <v>1765982267000</v>
      </c>
      <c r="D14" t="str">
        <f t="shared" si="0"/>
        <v>1765982267.000</v>
      </c>
      <c r="E14" s="3">
        <f t="shared" si="1"/>
        <v>46008.609571759262</v>
      </c>
      <c r="F14" t="s">
        <v>406</v>
      </c>
      <c r="G14">
        <v>668</v>
      </c>
      <c r="H14">
        <v>19</v>
      </c>
      <c r="I14">
        <v>131</v>
      </c>
      <c r="J14">
        <v>185</v>
      </c>
      <c r="K14">
        <v>3864</v>
      </c>
      <c r="L14">
        <v>3.06</v>
      </c>
      <c r="M14">
        <v>0</v>
      </c>
      <c r="N14">
        <v>1412</v>
      </c>
      <c r="O14">
        <v>300</v>
      </c>
      <c r="P14">
        <v>57</v>
      </c>
      <c r="Q14">
        <v>27</v>
      </c>
      <c r="R14">
        <v>4</v>
      </c>
      <c r="S14">
        <v>7</v>
      </c>
      <c r="T14">
        <v>17</v>
      </c>
      <c r="U14">
        <v>2</v>
      </c>
      <c r="V14">
        <v>1768614442637</v>
      </c>
    </row>
    <row r="15" spans="1:24" x14ac:dyDescent="0.25">
      <c r="A15" t="s">
        <v>43</v>
      </c>
      <c r="B15" t="s">
        <v>44</v>
      </c>
      <c r="C15">
        <v>1765730660000</v>
      </c>
      <c r="D15" t="str">
        <f t="shared" si="0"/>
        <v>1765730660.000</v>
      </c>
      <c r="E15" s="3">
        <f t="shared" si="1"/>
        <v>46005.697453703702</v>
      </c>
      <c r="F15" t="s">
        <v>403</v>
      </c>
      <c r="G15">
        <v>988</v>
      </c>
      <c r="H15">
        <v>37</v>
      </c>
      <c r="I15">
        <v>166</v>
      </c>
      <c r="J15">
        <v>186</v>
      </c>
      <c r="K15">
        <v>4960</v>
      </c>
      <c r="L15">
        <v>3.53</v>
      </c>
      <c r="M15">
        <v>0</v>
      </c>
      <c r="N15">
        <v>1913</v>
      </c>
      <c r="O15">
        <v>673</v>
      </c>
      <c r="P15">
        <v>58</v>
      </c>
      <c r="Q15">
        <v>1</v>
      </c>
      <c r="R15">
        <v>3</v>
      </c>
      <c r="S15">
        <v>17</v>
      </c>
      <c r="T15">
        <v>30</v>
      </c>
      <c r="U15">
        <v>7</v>
      </c>
      <c r="V15">
        <v>1768614442668</v>
      </c>
    </row>
    <row r="16" spans="1:24" x14ac:dyDescent="0.25">
      <c r="A16" t="s">
        <v>45</v>
      </c>
      <c r="B16" t="s">
        <v>46</v>
      </c>
      <c r="C16">
        <v>1765549979000</v>
      </c>
      <c r="D16" t="str">
        <f t="shared" si="0"/>
        <v>1765549979.000</v>
      </c>
      <c r="E16" s="3">
        <f t="shared" si="1"/>
        <v>46003.606238425928</v>
      </c>
      <c r="F16" t="s">
        <v>406</v>
      </c>
      <c r="G16">
        <v>788</v>
      </c>
      <c r="H16">
        <v>15</v>
      </c>
      <c r="I16">
        <v>145</v>
      </c>
      <c r="J16">
        <v>181</v>
      </c>
      <c r="K16">
        <v>3941</v>
      </c>
      <c r="L16">
        <v>1.92</v>
      </c>
      <c r="M16">
        <v>1002</v>
      </c>
      <c r="N16">
        <v>2734</v>
      </c>
      <c r="O16">
        <v>696</v>
      </c>
      <c r="P16">
        <v>57</v>
      </c>
      <c r="Q16">
        <v>12</v>
      </c>
      <c r="R16">
        <v>5</v>
      </c>
      <c r="S16">
        <v>25</v>
      </c>
      <c r="T16">
        <v>15</v>
      </c>
      <c r="U16">
        <v>0</v>
      </c>
      <c r="V16">
        <v>1768614442697</v>
      </c>
    </row>
    <row r="17" spans="1:22" x14ac:dyDescent="0.25">
      <c r="A17" t="s">
        <v>47</v>
      </c>
      <c r="B17" t="s">
        <v>48</v>
      </c>
      <c r="C17">
        <v>1765377463000</v>
      </c>
      <c r="D17" t="str">
        <f t="shared" si="0"/>
        <v>1765377463.000</v>
      </c>
      <c r="E17" s="3">
        <f t="shared" si="1"/>
        <v>46001.609525462962</v>
      </c>
      <c r="F17" t="s">
        <v>405</v>
      </c>
      <c r="G17">
        <v>833</v>
      </c>
      <c r="H17">
        <v>15</v>
      </c>
      <c r="I17">
        <v>149</v>
      </c>
      <c r="J17">
        <v>177</v>
      </c>
      <c r="K17">
        <v>4280</v>
      </c>
      <c r="L17">
        <v>2.86</v>
      </c>
      <c r="M17">
        <v>0</v>
      </c>
      <c r="N17">
        <v>1341</v>
      </c>
      <c r="O17">
        <v>449</v>
      </c>
      <c r="P17">
        <v>56</v>
      </c>
      <c r="Q17">
        <v>7</v>
      </c>
      <c r="R17">
        <v>3</v>
      </c>
      <c r="S17">
        <v>31</v>
      </c>
      <c r="T17">
        <v>15</v>
      </c>
      <c r="U17">
        <v>0</v>
      </c>
      <c r="V17">
        <v>1768614442724</v>
      </c>
    </row>
    <row r="18" spans="1:22" x14ac:dyDescent="0.25">
      <c r="A18" t="s">
        <v>49</v>
      </c>
      <c r="B18" t="s">
        <v>50</v>
      </c>
      <c r="C18">
        <v>1764772364000</v>
      </c>
      <c r="D18" t="str">
        <f t="shared" si="0"/>
        <v>1764772364.000</v>
      </c>
      <c r="E18" s="3">
        <f t="shared" si="1"/>
        <v>45994.606064814812</v>
      </c>
      <c r="F18" t="s">
        <v>405</v>
      </c>
      <c r="G18">
        <v>786</v>
      </c>
      <c r="H18">
        <v>23</v>
      </c>
      <c r="I18">
        <v>147</v>
      </c>
      <c r="J18">
        <v>181</v>
      </c>
      <c r="K18">
        <v>4322</v>
      </c>
      <c r="L18">
        <v>3.61</v>
      </c>
      <c r="M18">
        <v>1535</v>
      </c>
      <c r="N18">
        <v>1252</v>
      </c>
      <c r="O18">
        <v>392</v>
      </c>
      <c r="P18">
        <v>56</v>
      </c>
      <c r="Q18">
        <v>9</v>
      </c>
      <c r="R18">
        <v>13</v>
      </c>
      <c r="S18">
        <v>11</v>
      </c>
      <c r="T18">
        <v>23</v>
      </c>
      <c r="U18">
        <v>0</v>
      </c>
      <c r="V18">
        <v>1768614442749</v>
      </c>
    </row>
    <row r="19" spans="1:22" x14ac:dyDescent="0.25">
      <c r="A19" t="s">
        <v>51</v>
      </c>
      <c r="B19" t="s">
        <v>52</v>
      </c>
      <c r="C19">
        <v>1764599579000</v>
      </c>
      <c r="D19" t="str">
        <f t="shared" si="0"/>
        <v>1764599579.000</v>
      </c>
      <c r="E19" s="3">
        <f t="shared" si="1"/>
        <v>45992.606238425928</v>
      </c>
      <c r="F19" t="s">
        <v>406</v>
      </c>
      <c r="G19">
        <v>778</v>
      </c>
      <c r="H19">
        <v>7</v>
      </c>
      <c r="I19">
        <v>144</v>
      </c>
      <c r="J19">
        <v>182</v>
      </c>
      <c r="K19">
        <v>3382</v>
      </c>
      <c r="L19">
        <v>1.67</v>
      </c>
      <c r="M19">
        <v>939</v>
      </c>
      <c r="N19">
        <v>2988</v>
      </c>
      <c r="O19">
        <v>874</v>
      </c>
      <c r="P19">
        <v>56</v>
      </c>
      <c r="Q19">
        <v>7</v>
      </c>
      <c r="R19">
        <v>11</v>
      </c>
      <c r="S19">
        <v>31</v>
      </c>
      <c r="T19">
        <v>7</v>
      </c>
      <c r="U19">
        <v>0</v>
      </c>
      <c r="V19">
        <v>1768614442774</v>
      </c>
    </row>
    <row r="20" spans="1:22" x14ac:dyDescent="0.25">
      <c r="A20" t="s">
        <v>53</v>
      </c>
      <c r="B20" t="s">
        <v>54</v>
      </c>
      <c r="C20">
        <v>1763994763000</v>
      </c>
      <c r="D20" t="str">
        <f t="shared" si="0"/>
        <v>1763994763.000</v>
      </c>
      <c r="E20" s="3">
        <f t="shared" si="1"/>
        <v>45985.606053240743</v>
      </c>
      <c r="F20" t="s">
        <v>406</v>
      </c>
      <c r="G20">
        <v>716</v>
      </c>
      <c r="H20">
        <v>17</v>
      </c>
      <c r="I20">
        <v>136</v>
      </c>
      <c r="J20">
        <v>186</v>
      </c>
      <c r="K20">
        <v>3284</v>
      </c>
      <c r="L20">
        <v>2.06</v>
      </c>
      <c r="M20">
        <v>976</v>
      </c>
      <c r="N20">
        <v>3277</v>
      </c>
      <c r="O20">
        <v>1098</v>
      </c>
      <c r="P20">
        <v>57</v>
      </c>
      <c r="Q20">
        <v>20</v>
      </c>
      <c r="R20">
        <v>4</v>
      </c>
      <c r="S20">
        <v>16</v>
      </c>
      <c r="T20">
        <v>14</v>
      </c>
      <c r="U20">
        <v>3</v>
      </c>
      <c r="V20">
        <v>1768614442801</v>
      </c>
    </row>
    <row r="21" spans="1:22" x14ac:dyDescent="0.25">
      <c r="A21" t="s">
        <v>55</v>
      </c>
      <c r="B21" t="s">
        <v>56</v>
      </c>
      <c r="C21">
        <v>1763735865000</v>
      </c>
      <c r="D21" t="str">
        <f t="shared" si="0"/>
        <v>1763735865.000</v>
      </c>
      <c r="E21" s="3">
        <f t="shared" si="1"/>
        <v>45982.609548611115</v>
      </c>
      <c r="F21" t="s">
        <v>406</v>
      </c>
      <c r="G21">
        <v>857</v>
      </c>
      <c r="H21">
        <v>24</v>
      </c>
      <c r="I21">
        <v>150</v>
      </c>
      <c r="J21">
        <v>184</v>
      </c>
      <c r="K21">
        <v>3606</v>
      </c>
      <c r="L21">
        <v>2.0499999999999998</v>
      </c>
      <c r="M21">
        <v>976</v>
      </c>
      <c r="N21">
        <v>3669</v>
      </c>
      <c r="O21">
        <v>1333</v>
      </c>
      <c r="P21">
        <v>59</v>
      </c>
      <c r="Q21">
        <v>12</v>
      </c>
      <c r="R21">
        <v>2</v>
      </c>
      <c r="S21">
        <v>21</v>
      </c>
      <c r="T21">
        <v>23</v>
      </c>
      <c r="U21">
        <v>1</v>
      </c>
      <c r="V21">
        <v>1768614442842</v>
      </c>
    </row>
    <row r="22" spans="1:22" x14ac:dyDescent="0.25">
      <c r="A22" t="s">
        <v>57</v>
      </c>
      <c r="B22" t="s">
        <v>58</v>
      </c>
      <c r="C22">
        <v>1763562703000</v>
      </c>
      <c r="D22" t="str">
        <f t="shared" si="0"/>
        <v>1763562703.000</v>
      </c>
      <c r="E22" s="3">
        <f t="shared" si="1"/>
        <v>45980.605358796296</v>
      </c>
      <c r="F22" t="s">
        <v>405</v>
      </c>
      <c r="G22">
        <v>889</v>
      </c>
      <c r="H22">
        <v>22</v>
      </c>
      <c r="I22">
        <v>158</v>
      </c>
      <c r="J22">
        <v>180</v>
      </c>
      <c r="K22">
        <v>4271</v>
      </c>
      <c r="L22">
        <v>2.59</v>
      </c>
      <c r="M22">
        <v>1308</v>
      </c>
      <c r="P22">
        <v>57</v>
      </c>
      <c r="Q22">
        <v>1</v>
      </c>
      <c r="R22">
        <v>6</v>
      </c>
      <c r="S22">
        <v>28</v>
      </c>
      <c r="T22">
        <v>22</v>
      </c>
      <c r="U22">
        <v>0</v>
      </c>
      <c r="V22">
        <v>1768614442881</v>
      </c>
    </row>
    <row r="23" spans="1:22" x14ac:dyDescent="0.25">
      <c r="A23" t="s">
        <v>59</v>
      </c>
      <c r="B23" t="s">
        <v>60</v>
      </c>
      <c r="C23">
        <v>1763390266000</v>
      </c>
      <c r="D23" t="str">
        <f t="shared" si="0"/>
        <v>1763390266.000</v>
      </c>
      <c r="E23" s="3">
        <f t="shared" si="1"/>
        <v>45978.609560185185</v>
      </c>
      <c r="F23" t="s">
        <v>404</v>
      </c>
      <c r="G23">
        <v>813</v>
      </c>
      <c r="H23">
        <v>16</v>
      </c>
      <c r="I23">
        <v>143</v>
      </c>
      <c r="J23">
        <v>183</v>
      </c>
      <c r="K23">
        <v>2066</v>
      </c>
      <c r="L23">
        <v>1.88</v>
      </c>
      <c r="M23">
        <v>946</v>
      </c>
      <c r="N23">
        <v>4499</v>
      </c>
      <c r="O23">
        <v>1211</v>
      </c>
      <c r="P23">
        <v>60</v>
      </c>
      <c r="Q23">
        <v>12</v>
      </c>
      <c r="R23">
        <v>6</v>
      </c>
      <c r="S23">
        <v>26</v>
      </c>
      <c r="T23">
        <v>16</v>
      </c>
      <c r="U23">
        <v>0</v>
      </c>
      <c r="V23">
        <v>1768614442913</v>
      </c>
    </row>
    <row r="24" spans="1:22" x14ac:dyDescent="0.25">
      <c r="A24" t="s">
        <v>61</v>
      </c>
      <c r="B24" t="s">
        <v>62</v>
      </c>
      <c r="C24">
        <v>1763130764000</v>
      </c>
      <c r="D24" t="str">
        <f t="shared" si="0"/>
        <v>1763130764.000</v>
      </c>
      <c r="E24" s="3">
        <f t="shared" si="1"/>
        <v>45975.606064814812</v>
      </c>
      <c r="F24" t="s">
        <v>406</v>
      </c>
      <c r="G24">
        <v>847</v>
      </c>
      <c r="H24">
        <v>16</v>
      </c>
      <c r="I24">
        <v>154</v>
      </c>
      <c r="J24">
        <v>180</v>
      </c>
      <c r="K24">
        <v>3917</v>
      </c>
      <c r="L24">
        <v>1.9</v>
      </c>
      <c r="M24">
        <v>1025</v>
      </c>
      <c r="N24">
        <v>2928</v>
      </c>
      <c r="O24">
        <v>732</v>
      </c>
      <c r="P24">
        <v>55</v>
      </c>
      <c r="Q24">
        <v>3</v>
      </c>
      <c r="R24">
        <v>2</v>
      </c>
      <c r="S24">
        <v>34</v>
      </c>
      <c r="T24">
        <v>16</v>
      </c>
      <c r="U24">
        <v>0</v>
      </c>
      <c r="V24">
        <v>1768614442938</v>
      </c>
    </row>
    <row r="25" spans="1:22" x14ac:dyDescent="0.25">
      <c r="A25" t="s">
        <v>63</v>
      </c>
      <c r="B25" t="s">
        <v>64</v>
      </c>
      <c r="C25">
        <v>1762785164000</v>
      </c>
      <c r="D25" t="str">
        <f t="shared" si="0"/>
        <v>1762785164.000</v>
      </c>
      <c r="E25" s="3">
        <f t="shared" si="1"/>
        <v>45971.606064814812</v>
      </c>
      <c r="F25" t="s">
        <v>406</v>
      </c>
      <c r="G25">
        <v>843</v>
      </c>
      <c r="H25">
        <v>16</v>
      </c>
      <c r="I25">
        <v>152</v>
      </c>
      <c r="J25">
        <v>179</v>
      </c>
      <c r="K25">
        <v>3454</v>
      </c>
      <c r="L25">
        <v>1.83</v>
      </c>
      <c r="M25">
        <v>930</v>
      </c>
      <c r="N25">
        <v>2933</v>
      </c>
      <c r="O25">
        <v>780</v>
      </c>
      <c r="P25">
        <v>57</v>
      </c>
      <c r="Q25">
        <v>5</v>
      </c>
      <c r="R25">
        <v>6</v>
      </c>
      <c r="S25">
        <v>30</v>
      </c>
      <c r="T25">
        <v>16</v>
      </c>
      <c r="U25">
        <v>0</v>
      </c>
      <c r="V25">
        <v>1768614442963</v>
      </c>
    </row>
    <row r="26" spans="1:22" x14ac:dyDescent="0.25">
      <c r="A26" t="s">
        <v>65</v>
      </c>
      <c r="B26" t="s">
        <v>66</v>
      </c>
      <c r="C26">
        <v>1762620287000</v>
      </c>
      <c r="D26" t="str">
        <f t="shared" si="0"/>
        <v>1762620287.000</v>
      </c>
      <c r="E26" s="3">
        <f t="shared" si="1"/>
        <v>45969.69776620371</v>
      </c>
      <c r="F26" t="s">
        <v>406</v>
      </c>
      <c r="G26">
        <v>902</v>
      </c>
      <c r="H26">
        <v>27</v>
      </c>
      <c r="I26">
        <v>155</v>
      </c>
      <c r="J26">
        <v>187</v>
      </c>
      <c r="K26">
        <v>3543</v>
      </c>
      <c r="L26">
        <v>2.1800000000000002</v>
      </c>
      <c r="M26">
        <v>1027</v>
      </c>
      <c r="N26">
        <v>2134</v>
      </c>
      <c r="O26">
        <v>601</v>
      </c>
      <c r="P26">
        <v>59</v>
      </c>
      <c r="Q26">
        <v>7</v>
      </c>
      <c r="R26">
        <v>4</v>
      </c>
      <c r="S26">
        <v>21</v>
      </c>
      <c r="T26">
        <v>20</v>
      </c>
      <c r="U26">
        <v>7</v>
      </c>
      <c r="V26">
        <v>1768614442988</v>
      </c>
    </row>
    <row r="27" spans="1:22" x14ac:dyDescent="0.25">
      <c r="A27" t="s">
        <v>67</v>
      </c>
      <c r="B27" t="s">
        <v>68</v>
      </c>
      <c r="C27">
        <v>1762353466000</v>
      </c>
      <c r="D27" t="str">
        <f t="shared" si="0"/>
        <v>1762353466.000</v>
      </c>
      <c r="E27" s="3">
        <f t="shared" si="1"/>
        <v>45966.609560185185</v>
      </c>
      <c r="F27" t="s">
        <v>405</v>
      </c>
      <c r="G27">
        <v>913</v>
      </c>
      <c r="H27">
        <v>20</v>
      </c>
      <c r="I27">
        <v>154</v>
      </c>
      <c r="J27">
        <v>185</v>
      </c>
      <c r="K27">
        <v>5115</v>
      </c>
      <c r="L27">
        <v>2.88</v>
      </c>
      <c r="M27">
        <v>1624</v>
      </c>
      <c r="N27">
        <v>632</v>
      </c>
      <c r="O27">
        <v>150</v>
      </c>
      <c r="P27">
        <v>61</v>
      </c>
      <c r="Q27">
        <v>3</v>
      </c>
      <c r="R27">
        <v>10</v>
      </c>
      <c r="S27">
        <v>28</v>
      </c>
      <c r="T27">
        <v>17</v>
      </c>
      <c r="U27">
        <v>3</v>
      </c>
      <c r="V27">
        <v>1768614443016</v>
      </c>
    </row>
    <row r="28" spans="1:22" x14ac:dyDescent="0.25">
      <c r="A28" t="s">
        <v>69</v>
      </c>
      <c r="B28" t="s">
        <v>70</v>
      </c>
      <c r="C28">
        <v>1762180379000</v>
      </c>
      <c r="D28" t="str">
        <f t="shared" si="0"/>
        <v>1762180379.000</v>
      </c>
      <c r="E28" s="3">
        <f t="shared" si="1"/>
        <v>45964.606238425928</v>
      </c>
      <c r="F28" t="s">
        <v>406</v>
      </c>
      <c r="G28">
        <v>887</v>
      </c>
      <c r="H28">
        <v>25</v>
      </c>
      <c r="I28">
        <v>158</v>
      </c>
      <c r="J28">
        <v>183</v>
      </c>
      <c r="K28">
        <v>3701</v>
      </c>
      <c r="L28">
        <v>1.89</v>
      </c>
      <c r="M28">
        <v>1005</v>
      </c>
      <c r="N28">
        <v>3501</v>
      </c>
      <c r="O28">
        <v>785</v>
      </c>
      <c r="P28">
        <v>56</v>
      </c>
      <c r="Q28">
        <v>3</v>
      </c>
      <c r="R28">
        <v>5</v>
      </c>
      <c r="S28">
        <v>23</v>
      </c>
      <c r="T28">
        <v>24</v>
      </c>
      <c r="U28">
        <v>1</v>
      </c>
      <c r="V28">
        <v>1768614443056</v>
      </c>
    </row>
    <row r="29" spans="1:22" x14ac:dyDescent="0.25">
      <c r="A29" t="s">
        <v>71</v>
      </c>
      <c r="B29" t="s">
        <v>72</v>
      </c>
      <c r="C29">
        <v>1761917565000</v>
      </c>
      <c r="D29" t="str">
        <f t="shared" si="0"/>
        <v>1761917565.000</v>
      </c>
      <c r="E29" s="3">
        <f t="shared" si="1"/>
        <v>45961.564409722225</v>
      </c>
      <c r="F29" t="s">
        <v>406</v>
      </c>
      <c r="G29">
        <v>775</v>
      </c>
      <c r="H29">
        <v>20</v>
      </c>
      <c r="I29">
        <v>149</v>
      </c>
      <c r="J29">
        <v>188</v>
      </c>
      <c r="K29">
        <v>4167</v>
      </c>
      <c r="L29">
        <v>2.09</v>
      </c>
      <c r="M29">
        <v>1026</v>
      </c>
      <c r="N29">
        <v>3137</v>
      </c>
      <c r="O29">
        <v>861</v>
      </c>
      <c r="P29">
        <v>53</v>
      </c>
      <c r="Q29">
        <v>13</v>
      </c>
      <c r="R29">
        <v>1</v>
      </c>
      <c r="S29">
        <v>19</v>
      </c>
      <c r="T29">
        <v>14</v>
      </c>
      <c r="U29">
        <v>6</v>
      </c>
      <c r="V29">
        <v>1768614443088</v>
      </c>
    </row>
    <row r="30" spans="1:22" x14ac:dyDescent="0.25">
      <c r="A30" t="s">
        <v>73</v>
      </c>
      <c r="B30" t="s">
        <v>74</v>
      </c>
      <c r="C30">
        <v>1761740957000</v>
      </c>
      <c r="D30" t="str">
        <f t="shared" si="0"/>
        <v>1761740957.000</v>
      </c>
      <c r="E30" s="3">
        <f t="shared" si="1"/>
        <v>45959.520335648151</v>
      </c>
      <c r="F30" t="s">
        <v>405</v>
      </c>
      <c r="G30">
        <v>838</v>
      </c>
      <c r="H30">
        <v>22</v>
      </c>
      <c r="I30">
        <v>154</v>
      </c>
      <c r="J30">
        <v>184</v>
      </c>
      <c r="K30">
        <v>4387</v>
      </c>
      <c r="L30">
        <v>3.02</v>
      </c>
      <c r="M30">
        <v>1581</v>
      </c>
      <c r="P30">
        <v>55</v>
      </c>
      <c r="Q30">
        <v>4</v>
      </c>
      <c r="R30">
        <v>7</v>
      </c>
      <c r="S30">
        <v>22</v>
      </c>
      <c r="T30">
        <v>20</v>
      </c>
      <c r="U30">
        <v>2</v>
      </c>
      <c r="V30">
        <v>1768614443140</v>
      </c>
    </row>
    <row r="31" spans="1:22" x14ac:dyDescent="0.25">
      <c r="A31" t="s">
        <v>75</v>
      </c>
      <c r="B31" t="s">
        <v>76</v>
      </c>
      <c r="C31">
        <v>1761313066000</v>
      </c>
      <c r="D31" t="str">
        <f t="shared" si="0"/>
        <v>1761313066.000</v>
      </c>
      <c r="E31" s="3">
        <f t="shared" si="1"/>
        <v>45954.567893518513</v>
      </c>
      <c r="F31" t="s">
        <v>406</v>
      </c>
      <c r="G31">
        <v>901</v>
      </c>
      <c r="H31">
        <v>16</v>
      </c>
      <c r="I31">
        <v>154</v>
      </c>
      <c r="J31">
        <v>181</v>
      </c>
      <c r="K31">
        <v>3786</v>
      </c>
      <c r="L31">
        <v>1.87</v>
      </c>
      <c r="M31">
        <v>876</v>
      </c>
      <c r="P31">
        <v>59</v>
      </c>
      <c r="Q31">
        <v>1</v>
      </c>
      <c r="R31">
        <v>5</v>
      </c>
      <c r="S31">
        <v>37</v>
      </c>
      <c r="T31">
        <v>16</v>
      </c>
      <c r="U31">
        <v>0</v>
      </c>
      <c r="V31">
        <v>1768614443176</v>
      </c>
    </row>
    <row r="32" spans="1:22" x14ac:dyDescent="0.25">
      <c r="A32" t="s">
        <v>77</v>
      </c>
      <c r="B32" t="s">
        <v>78</v>
      </c>
      <c r="C32">
        <v>1761034367000</v>
      </c>
      <c r="D32" t="str">
        <f t="shared" si="0"/>
        <v>1761034367.000</v>
      </c>
      <c r="E32" s="3">
        <f t="shared" si="1"/>
        <v>45951.342210648145</v>
      </c>
      <c r="F32" t="s">
        <v>402</v>
      </c>
      <c r="G32">
        <v>678</v>
      </c>
      <c r="H32">
        <v>20</v>
      </c>
      <c r="I32">
        <v>157</v>
      </c>
      <c r="J32">
        <v>179</v>
      </c>
      <c r="K32">
        <v>5645</v>
      </c>
      <c r="L32">
        <v>4.68</v>
      </c>
      <c r="M32">
        <v>2388</v>
      </c>
      <c r="P32">
        <v>42</v>
      </c>
      <c r="Q32">
        <v>1</v>
      </c>
      <c r="R32">
        <v>4</v>
      </c>
      <c r="S32">
        <v>17</v>
      </c>
      <c r="T32">
        <v>20</v>
      </c>
      <c r="U32">
        <v>0</v>
      </c>
      <c r="V32">
        <v>1768614443228</v>
      </c>
    </row>
    <row r="33" spans="1:22" x14ac:dyDescent="0.25">
      <c r="A33" t="s">
        <v>79</v>
      </c>
      <c r="B33" t="s">
        <v>80</v>
      </c>
      <c r="C33">
        <v>1760448764000</v>
      </c>
      <c r="D33" t="str">
        <f t="shared" si="0"/>
        <v>1760448764.000</v>
      </c>
      <c r="E33" s="3">
        <f t="shared" si="1"/>
        <v>45944.564398148148</v>
      </c>
      <c r="F33" t="s">
        <v>405</v>
      </c>
      <c r="G33">
        <v>723</v>
      </c>
      <c r="H33">
        <v>22</v>
      </c>
      <c r="I33">
        <v>142</v>
      </c>
      <c r="J33">
        <v>189</v>
      </c>
      <c r="K33">
        <v>4253</v>
      </c>
      <c r="L33">
        <v>3.49</v>
      </c>
      <c r="M33">
        <v>1500</v>
      </c>
      <c r="N33">
        <v>154</v>
      </c>
      <c r="O33">
        <v>194</v>
      </c>
      <c r="P33">
        <v>53</v>
      </c>
      <c r="Q33">
        <v>17</v>
      </c>
      <c r="R33">
        <v>11</v>
      </c>
      <c r="S33">
        <v>3</v>
      </c>
      <c r="T33">
        <v>7</v>
      </c>
      <c r="U33">
        <v>15</v>
      </c>
      <c r="V33">
        <v>1768614443267</v>
      </c>
    </row>
    <row r="34" spans="1:22" x14ac:dyDescent="0.25">
      <c r="A34" t="s">
        <v>81</v>
      </c>
      <c r="B34" t="s">
        <v>82</v>
      </c>
      <c r="C34">
        <v>1760103186000</v>
      </c>
      <c r="D34" t="str">
        <f t="shared" ref="D34:D65" si="2">LEFT(C34,10) &amp; "." &amp; RIGHT(C34,3)</f>
        <v>1760103186.000</v>
      </c>
      <c r="E34" s="3">
        <f t="shared" ref="E34:E65" si="3">(((D34/60)/60)/24)+DATE(1970,1,1)</f>
        <v>45940.564652777779</v>
      </c>
      <c r="F34" t="s">
        <v>406</v>
      </c>
      <c r="G34">
        <v>947</v>
      </c>
      <c r="H34">
        <v>30</v>
      </c>
      <c r="I34">
        <v>163</v>
      </c>
      <c r="J34">
        <v>183</v>
      </c>
      <c r="K34">
        <v>3945</v>
      </c>
      <c r="L34">
        <v>1.9</v>
      </c>
      <c r="M34">
        <v>990</v>
      </c>
      <c r="N34">
        <v>3972</v>
      </c>
      <c r="O34">
        <v>992</v>
      </c>
      <c r="P34">
        <v>57</v>
      </c>
      <c r="Q34">
        <v>0</v>
      </c>
      <c r="R34">
        <v>3</v>
      </c>
      <c r="S34">
        <v>24</v>
      </c>
      <c r="T34">
        <v>27</v>
      </c>
      <c r="U34">
        <v>3</v>
      </c>
      <c r="V34">
        <v>1768614443297</v>
      </c>
    </row>
    <row r="35" spans="1:22" x14ac:dyDescent="0.25">
      <c r="A35" t="s">
        <v>83</v>
      </c>
      <c r="B35" t="s">
        <v>84</v>
      </c>
      <c r="C35">
        <v>1759926561000</v>
      </c>
      <c r="D35" t="str">
        <f t="shared" si="2"/>
        <v>1759926561.000</v>
      </c>
      <c r="E35" s="3">
        <f t="shared" si="3"/>
        <v>45938.520381944443</v>
      </c>
      <c r="F35" t="s">
        <v>405</v>
      </c>
      <c r="G35">
        <v>898</v>
      </c>
      <c r="H35">
        <v>17</v>
      </c>
      <c r="I35">
        <v>155</v>
      </c>
      <c r="J35">
        <v>187</v>
      </c>
      <c r="K35">
        <v>5026</v>
      </c>
      <c r="L35">
        <v>2.94</v>
      </c>
      <c r="M35">
        <v>1484</v>
      </c>
      <c r="N35">
        <v>2551</v>
      </c>
      <c r="O35">
        <v>607</v>
      </c>
      <c r="P35">
        <v>58</v>
      </c>
      <c r="Q35">
        <v>2</v>
      </c>
      <c r="R35">
        <v>8</v>
      </c>
      <c r="S35">
        <v>31</v>
      </c>
      <c r="T35">
        <v>15</v>
      </c>
      <c r="U35">
        <v>2</v>
      </c>
      <c r="V35">
        <v>1768614443322</v>
      </c>
    </row>
    <row r="36" spans="1:22" x14ac:dyDescent="0.25">
      <c r="A36" t="s">
        <v>85</v>
      </c>
      <c r="B36" t="s">
        <v>86</v>
      </c>
      <c r="C36">
        <v>1759321689000</v>
      </c>
      <c r="D36" t="str">
        <f t="shared" si="2"/>
        <v>1759321689.000</v>
      </c>
      <c r="E36" s="3">
        <f t="shared" si="3"/>
        <v>45931.519548611104</v>
      </c>
      <c r="F36" t="s">
        <v>405</v>
      </c>
      <c r="G36">
        <v>876</v>
      </c>
      <c r="H36">
        <v>20</v>
      </c>
      <c r="I36">
        <v>157</v>
      </c>
      <c r="J36">
        <v>187</v>
      </c>
      <c r="K36">
        <v>4673</v>
      </c>
      <c r="L36">
        <v>3.61</v>
      </c>
      <c r="M36">
        <v>1732</v>
      </c>
      <c r="P36">
        <v>56</v>
      </c>
      <c r="Q36">
        <v>1</v>
      </c>
      <c r="R36">
        <v>8</v>
      </c>
      <c r="S36">
        <v>27</v>
      </c>
      <c r="T36">
        <v>14</v>
      </c>
      <c r="U36">
        <v>6</v>
      </c>
      <c r="V36">
        <v>1768614443342</v>
      </c>
    </row>
    <row r="37" spans="1:22" x14ac:dyDescent="0.25">
      <c r="A37" t="s">
        <v>87</v>
      </c>
      <c r="B37" t="s">
        <v>88</v>
      </c>
      <c r="C37">
        <v>1759148185000</v>
      </c>
      <c r="D37" t="str">
        <f t="shared" si="2"/>
        <v>1759148185.000</v>
      </c>
      <c r="E37" s="3">
        <f t="shared" si="3"/>
        <v>45929.511400462965</v>
      </c>
      <c r="F37" t="s">
        <v>400</v>
      </c>
      <c r="G37">
        <v>344</v>
      </c>
      <c r="H37">
        <v>0</v>
      </c>
      <c r="I37">
        <v>107</v>
      </c>
      <c r="J37">
        <v>152</v>
      </c>
      <c r="K37">
        <v>425</v>
      </c>
      <c r="P37">
        <v>42</v>
      </c>
      <c r="Q37">
        <v>29</v>
      </c>
      <c r="R37">
        <v>10</v>
      </c>
      <c r="S37">
        <v>3</v>
      </c>
      <c r="T37">
        <v>0</v>
      </c>
      <c r="U37">
        <v>0</v>
      </c>
      <c r="V37">
        <v>1768614443361</v>
      </c>
    </row>
    <row r="38" spans="1:22" x14ac:dyDescent="0.25">
      <c r="A38" t="s">
        <v>89</v>
      </c>
      <c r="B38" t="s">
        <v>90</v>
      </c>
      <c r="C38">
        <v>1758897766000</v>
      </c>
      <c r="D38" t="str">
        <f t="shared" si="2"/>
        <v>1758897766.000</v>
      </c>
      <c r="E38" s="3">
        <f t="shared" si="3"/>
        <v>45926.613032407404</v>
      </c>
      <c r="F38" t="s">
        <v>405</v>
      </c>
      <c r="G38">
        <v>867</v>
      </c>
      <c r="H38">
        <v>26</v>
      </c>
      <c r="I38">
        <v>158</v>
      </c>
      <c r="J38">
        <v>187</v>
      </c>
      <c r="K38">
        <v>4417</v>
      </c>
      <c r="L38">
        <v>3.04</v>
      </c>
      <c r="M38">
        <v>1503</v>
      </c>
      <c r="N38">
        <v>1920</v>
      </c>
      <c r="O38">
        <v>461</v>
      </c>
      <c r="P38">
        <v>56</v>
      </c>
      <c r="Q38">
        <v>3</v>
      </c>
      <c r="R38">
        <v>7</v>
      </c>
      <c r="S38">
        <v>20</v>
      </c>
      <c r="T38">
        <v>21</v>
      </c>
      <c r="U38">
        <v>5</v>
      </c>
      <c r="V38">
        <v>1768614443399</v>
      </c>
    </row>
    <row r="39" spans="1:22" x14ac:dyDescent="0.25">
      <c r="A39" t="s">
        <v>91</v>
      </c>
      <c r="B39" t="s">
        <v>92</v>
      </c>
      <c r="C39">
        <v>1758803320000</v>
      </c>
      <c r="D39" t="str">
        <f t="shared" si="2"/>
        <v>1758803320.000</v>
      </c>
      <c r="E39" s="3">
        <f t="shared" si="3"/>
        <v>45925.519907407404</v>
      </c>
      <c r="F39" t="s">
        <v>405</v>
      </c>
      <c r="G39">
        <v>914</v>
      </c>
      <c r="H39">
        <v>26</v>
      </c>
      <c r="I39">
        <v>157</v>
      </c>
      <c r="J39">
        <v>185</v>
      </c>
      <c r="K39">
        <v>4645</v>
      </c>
      <c r="L39">
        <v>2.91</v>
      </c>
      <c r="M39">
        <v>1611</v>
      </c>
      <c r="N39">
        <v>2089</v>
      </c>
      <c r="O39">
        <v>566</v>
      </c>
      <c r="P39">
        <v>58</v>
      </c>
      <c r="Q39">
        <v>4</v>
      </c>
      <c r="R39">
        <v>4</v>
      </c>
      <c r="S39">
        <v>24</v>
      </c>
      <c r="T39">
        <v>22</v>
      </c>
      <c r="U39">
        <v>4</v>
      </c>
      <c r="V39">
        <v>1768614443436</v>
      </c>
    </row>
    <row r="40" spans="1:22" x14ac:dyDescent="0.25">
      <c r="A40" t="s">
        <v>93</v>
      </c>
      <c r="B40" t="s">
        <v>94</v>
      </c>
      <c r="C40">
        <v>1758473865000</v>
      </c>
      <c r="D40" t="str">
        <f t="shared" si="2"/>
        <v>1758473865.000</v>
      </c>
      <c r="E40" s="3">
        <f t="shared" si="3"/>
        <v>45921.706770833334</v>
      </c>
      <c r="F40" t="s">
        <v>401</v>
      </c>
      <c r="G40">
        <v>882</v>
      </c>
      <c r="H40">
        <v>40</v>
      </c>
      <c r="I40">
        <v>172</v>
      </c>
      <c r="J40">
        <v>192</v>
      </c>
      <c r="K40">
        <v>5240</v>
      </c>
      <c r="L40">
        <v>3.1</v>
      </c>
      <c r="M40">
        <v>1365</v>
      </c>
      <c r="N40">
        <v>2000</v>
      </c>
      <c r="O40">
        <v>428</v>
      </c>
      <c r="P40">
        <v>49</v>
      </c>
      <c r="Q40">
        <v>1</v>
      </c>
      <c r="R40">
        <v>4</v>
      </c>
      <c r="S40">
        <v>4</v>
      </c>
      <c r="T40">
        <v>27</v>
      </c>
      <c r="U40">
        <v>13</v>
      </c>
      <c r="V40">
        <v>1768614443462</v>
      </c>
    </row>
    <row r="41" spans="1:22" x14ac:dyDescent="0.25">
      <c r="A41" t="s">
        <v>95</v>
      </c>
      <c r="B41" t="s">
        <v>96</v>
      </c>
      <c r="C41">
        <v>1758289065000</v>
      </c>
      <c r="D41" t="str">
        <f t="shared" si="2"/>
        <v>1758289065.000</v>
      </c>
      <c r="E41" s="3">
        <f t="shared" si="3"/>
        <v>45919.567881944444</v>
      </c>
      <c r="F41" t="s">
        <v>406</v>
      </c>
      <c r="G41">
        <v>957</v>
      </c>
      <c r="H41">
        <v>30</v>
      </c>
      <c r="I41">
        <v>161</v>
      </c>
      <c r="J41">
        <v>187</v>
      </c>
      <c r="K41">
        <v>4129</v>
      </c>
      <c r="L41">
        <v>1.95</v>
      </c>
      <c r="M41">
        <v>1029</v>
      </c>
      <c r="N41">
        <v>2751</v>
      </c>
      <c r="O41">
        <v>629</v>
      </c>
      <c r="P41">
        <v>59</v>
      </c>
      <c r="Q41">
        <v>2</v>
      </c>
      <c r="R41">
        <v>4</v>
      </c>
      <c r="S41">
        <v>23</v>
      </c>
      <c r="T41">
        <v>29</v>
      </c>
      <c r="U41">
        <v>1</v>
      </c>
      <c r="V41">
        <v>1768614443500</v>
      </c>
    </row>
    <row r="42" spans="1:22" x14ac:dyDescent="0.25">
      <c r="A42" t="s">
        <v>97</v>
      </c>
      <c r="B42" t="s">
        <v>98</v>
      </c>
      <c r="C42">
        <v>1757943166000</v>
      </c>
      <c r="D42" t="str">
        <f t="shared" si="2"/>
        <v>1757943166.000</v>
      </c>
      <c r="E42" s="3">
        <f t="shared" si="3"/>
        <v>45915.564421296294</v>
      </c>
      <c r="F42" t="s">
        <v>406</v>
      </c>
      <c r="G42">
        <v>852</v>
      </c>
      <c r="H42">
        <v>14</v>
      </c>
      <c r="I42">
        <v>152</v>
      </c>
      <c r="J42">
        <v>191</v>
      </c>
      <c r="K42">
        <v>4130</v>
      </c>
      <c r="L42">
        <v>2.14</v>
      </c>
      <c r="M42">
        <v>1018</v>
      </c>
      <c r="N42">
        <v>3494</v>
      </c>
      <c r="O42">
        <v>943</v>
      </c>
      <c r="P42">
        <v>57</v>
      </c>
      <c r="Q42">
        <v>4</v>
      </c>
      <c r="R42">
        <v>7</v>
      </c>
      <c r="S42">
        <v>32</v>
      </c>
      <c r="T42">
        <v>10</v>
      </c>
      <c r="U42">
        <v>4</v>
      </c>
      <c r="V42">
        <v>1768614443530</v>
      </c>
    </row>
    <row r="43" spans="1:22" x14ac:dyDescent="0.25">
      <c r="A43" t="s">
        <v>99</v>
      </c>
      <c r="B43" t="s">
        <v>100</v>
      </c>
      <c r="C43">
        <v>1757683964000</v>
      </c>
      <c r="D43" t="str">
        <f t="shared" si="2"/>
        <v>1757683964.000</v>
      </c>
      <c r="E43" s="3">
        <f t="shared" si="3"/>
        <v>45912.564398148148</v>
      </c>
      <c r="F43" t="s">
        <v>406</v>
      </c>
      <c r="G43">
        <v>665</v>
      </c>
      <c r="H43">
        <v>14</v>
      </c>
      <c r="I43">
        <v>134</v>
      </c>
      <c r="J43">
        <v>187</v>
      </c>
      <c r="K43">
        <v>2927</v>
      </c>
      <c r="L43">
        <v>1.57</v>
      </c>
      <c r="M43">
        <v>996</v>
      </c>
      <c r="N43">
        <v>2742</v>
      </c>
      <c r="O43">
        <v>814</v>
      </c>
      <c r="P43">
        <v>54</v>
      </c>
      <c r="Q43">
        <v>20</v>
      </c>
      <c r="R43">
        <v>3</v>
      </c>
      <c r="S43">
        <v>17</v>
      </c>
      <c r="T43">
        <v>9</v>
      </c>
      <c r="U43">
        <v>5</v>
      </c>
      <c r="V43">
        <v>1768614443558</v>
      </c>
    </row>
    <row r="44" spans="1:22" x14ac:dyDescent="0.25">
      <c r="A44" t="s">
        <v>101</v>
      </c>
      <c r="B44" t="s">
        <v>102</v>
      </c>
      <c r="C44">
        <v>1757338368000</v>
      </c>
      <c r="D44" t="str">
        <f t="shared" si="2"/>
        <v>1757338368.000</v>
      </c>
      <c r="E44" s="3">
        <f t="shared" si="3"/>
        <v>45908.564444444448</v>
      </c>
      <c r="F44" t="s">
        <v>406</v>
      </c>
      <c r="G44">
        <v>809</v>
      </c>
      <c r="H44">
        <v>16</v>
      </c>
      <c r="I44">
        <v>149</v>
      </c>
      <c r="J44">
        <v>179</v>
      </c>
      <c r="K44">
        <v>4126</v>
      </c>
      <c r="L44">
        <v>1.68</v>
      </c>
      <c r="M44">
        <v>889</v>
      </c>
      <c r="N44">
        <v>3653</v>
      </c>
      <c r="O44">
        <v>795</v>
      </c>
      <c r="P44">
        <v>56</v>
      </c>
      <c r="Q44">
        <v>7</v>
      </c>
      <c r="R44">
        <v>6</v>
      </c>
      <c r="S44">
        <v>27</v>
      </c>
      <c r="T44">
        <v>16</v>
      </c>
      <c r="U44">
        <v>0</v>
      </c>
      <c r="V44">
        <v>1768614443599</v>
      </c>
    </row>
    <row r="45" spans="1:22" x14ac:dyDescent="0.25">
      <c r="A45" t="s">
        <v>103</v>
      </c>
      <c r="B45" s="1" t="s">
        <v>104</v>
      </c>
      <c r="C45">
        <v>1757151767000</v>
      </c>
      <c r="D45" t="str">
        <f t="shared" si="2"/>
        <v>1757151767.000</v>
      </c>
      <c r="E45" s="3">
        <f t="shared" si="3"/>
        <v>45906.404710648145</v>
      </c>
      <c r="F45" t="s">
        <v>406</v>
      </c>
      <c r="G45">
        <v>854</v>
      </c>
      <c r="H45">
        <v>25</v>
      </c>
      <c r="I45">
        <v>157</v>
      </c>
      <c r="J45">
        <v>184</v>
      </c>
      <c r="K45">
        <v>4197</v>
      </c>
      <c r="L45">
        <v>1.63</v>
      </c>
      <c r="M45">
        <v>917</v>
      </c>
      <c r="N45">
        <v>4542</v>
      </c>
      <c r="O45">
        <v>1181</v>
      </c>
      <c r="P45">
        <v>54</v>
      </c>
      <c r="Q45">
        <v>1</v>
      </c>
      <c r="R45">
        <v>6</v>
      </c>
      <c r="S45">
        <v>22</v>
      </c>
      <c r="T45">
        <v>24</v>
      </c>
      <c r="U45">
        <v>1</v>
      </c>
      <c r="V45">
        <v>1768614443625</v>
      </c>
    </row>
    <row r="46" spans="1:22" x14ac:dyDescent="0.25">
      <c r="A46" t="s">
        <v>105</v>
      </c>
      <c r="B46" t="s">
        <v>106</v>
      </c>
      <c r="C46">
        <v>1756129065000</v>
      </c>
      <c r="D46" t="str">
        <f t="shared" si="2"/>
        <v>1756129065.000</v>
      </c>
      <c r="E46" s="3">
        <f t="shared" si="3"/>
        <v>45894.567881944444</v>
      </c>
      <c r="F46" t="s">
        <v>406</v>
      </c>
      <c r="G46">
        <v>931</v>
      </c>
      <c r="H46">
        <v>23</v>
      </c>
      <c r="I46">
        <v>157</v>
      </c>
      <c r="J46">
        <v>187</v>
      </c>
      <c r="K46">
        <v>4176</v>
      </c>
      <c r="L46">
        <v>2.36</v>
      </c>
      <c r="M46">
        <v>1209</v>
      </c>
      <c r="N46">
        <v>2385</v>
      </c>
      <c r="O46">
        <v>1017</v>
      </c>
      <c r="P46">
        <v>59</v>
      </c>
      <c r="Q46">
        <v>1</v>
      </c>
      <c r="R46">
        <v>8</v>
      </c>
      <c r="S46">
        <v>27</v>
      </c>
      <c r="T46">
        <v>22</v>
      </c>
      <c r="U46">
        <v>1</v>
      </c>
      <c r="V46">
        <v>1768614443652</v>
      </c>
    </row>
    <row r="47" spans="1:22" x14ac:dyDescent="0.25">
      <c r="A47" t="s">
        <v>107</v>
      </c>
      <c r="B47" t="s">
        <v>108</v>
      </c>
      <c r="C47">
        <v>1755873769000</v>
      </c>
      <c r="D47" t="str">
        <f t="shared" si="2"/>
        <v>1755873769.000</v>
      </c>
      <c r="E47" s="3">
        <f t="shared" si="3"/>
        <v>45891.613067129627</v>
      </c>
      <c r="F47" t="s">
        <v>405</v>
      </c>
      <c r="G47">
        <v>808</v>
      </c>
      <c r="H47">
        <v>19</v>
      </c>
      <c r="I47">
        <v>155</v>
      </c>
      <c r="J47">
        <v>184</v>
      </c>
      <c r="K47">
        <v>3792</v>
      </c>
      <c r="L47">
        <v>2.58</v>
      </c>
      <c r="M47">
        <v>1548</v>
      </c>
      <c r="N47">
        <v>478</v>
      </c>
      <c r="O47">
        <v>77</v>
      </c>
      <c r="P47">
        <v>52</v>
      </c>
      <c r="Q47">
        <v>2</v>
      </c>
      <c r="R47">
        <v>4</v>
      </c>
      <c r="S47">
        <v>27</v>
      </c>
      <c r="T47">
        <v>18</v>
      </c>
      <c r="U47">
        <v>1</v>
      </c>
      <c r="V47">
        <v>1768614443680</v>
      </c>
    </row>
    <row r="48" spans="1:22" x14ac:dyDescent="0.25">
      <c r="A48" t="s">
        <v>109</v>
      </c>
      <c r="B48" t="s">
        <v>110</v>
      </c>
      <c r="C48">
        <v>1755174467000</v>
      </c>
      <c r="D48" t="str">
        <f t="shared" si="2"/>
        <v>1755174467.000</v>
      </c>
      <c r="E48" s="3">
        <f t="shared" si="3"/>
        <v>45883.519293981488</v>
      </c>
      <c r="F48" t="s">
        <v>405</v>
      </c>
      <c r="G48">
        <v>770</v>
      </c>
      <c r="H48">
        <v>9</v>
      </c>
      <c r="I48">
        <v>151</v>
      </c>
      <c r="J48">
        <v>190</v>
      </c>
      <c r="K48">
        <v>4058</v>
      </c>
      <c r="L48">
        <v>2.5099999999999998</v>
      </c>
      <c r="M48">
        <v>1340</v>
      </c>
      <c r="P48">
        <v>52</v>
      </c>
      <c r="Q48">
        <v>3</v>
      </c>
      <c r="R48">
        <v>6</v>
      </c>
      <c r="S48">
        <v>34</v>
      </c>
      <c r="T48">
        <v>4</v>
      </c>
      <c r="U48">
        <v>5</v>
      </c>
      <c r="V48">
        <v>1768614443711</v>
      </c>
    </row>
    <row r="49" spans="1:22" x14ac:dyDescent="0.25">
      <c r="A49" t="s">
        <v>111</v>
      </c>
      <c r="B49" t="s">
        <v>112</v>
      </c>
      <c r="C49">
        <v>1754919100000</v>
      </c>
      <c r="D49" t="str">
        <f t="shared" si="2"/>
        <v>1754919100.000</v>
      </c>
      <c r="E49" s="3">
        <f t="shared" si="3"/>
        <v>45880.563657407409</v>
      </c>
      <c r="F49" t="s">
        <v>406</v>
      </c>
      <c r="G49">
        <v>840</v>
      </c>
      <c r="H49">
        <v>16</v>
      </c>
      <c r="I49">
        <v>152</v>
      </c>
      <c r="J49">
        <v>181</v>
      </c>
      <c r="K49">
        <v>3787</v>
      </c>
      <c r="L49">
        <v>1.62</v>
      </c>
      <c r="M49">
        <v>973</v>
      </c>
      <c r="N49">
        <v>4131</v>
      </c>
      <c r="O49">
        <v>1011</v>
      </c>
      <c r="P49">
        <v>56</v>
      </c>
      <c r="Q49">
        <v>4</v>
      </c>
      <c r="R49">
        <v>6</v>
      </c>
      <c r="S49">
        <v>30</v>
      </c>
      <c r="T49">
        <v>16</v>
      </c>
      <c r="U49">
        <v>0</v>
      </c>
      <c r="V49">
        <v>1768614443748</v>
      </c>
    </row>
    <row r="50" spans="1:22" x14ac:dyDescent="0.25">
      <c r="A50" t="s">
        <v>113</v>
      </c>
      <c r="B50" t="s">
        <v>114</v>
      </c>
      <c r="C50">
        <v>1754664170000</v>
      </c>
      <c r="D50" t="str">
        <f t="shared" si="2"/>
        <v>1754664170.000</v>
      </c>
      <c r="E50" s="3">
        <f t="shared" si="3"/>
        <v>45877.613078703704</v>
      </c>
      <c r="F50" t="s">
        <v>405</v>
      </c>
      <c r="G50">
        <v>886</v>
      </c>
      <c r="H50">
        <v>22</v>
      </c>
      <c r="I50">
        <v>158</v>
      </c>
      <c r="J50">
        <v>190</v>
      </c>
      <c r="K50">
        <v>4169</v>
      </c>
      <c r="L50">
        <v>2.76</v>
      </c>
      <c r="M50">
        <v>692</v>
      </c>
      <c r="N50">
        <v>1386</v>
      </c>
      <c r="O50">
        <v>331</v>
      </c>
      <c r="P50">
        <v>56</v>
      </c>
      <c r="Q50">
        <v>2</v>
      </c>
      <c r="R50">
        <v>5</v>
      </c>
      <c r="S50">
        <v>27</v>
      </c>
      <c r="T50">
        <v>18</v>
      </c>
      <c r="U50">
        <v>4</v>
      </c>
      <c r="V50">
        <v>1768614443783</v>
      </c>
    </row>
    <row r="51" spans="1:22" x14ac:dyDescent="0.25">
      <c r="A51" t="s">
        <v>115</v>
      </c>
      <c r="B51" t="s">
        <v>116</v>
      </c>
      <c r="C51">
        <v>1754483297000</v>
      </c>
      <c r="D51" t="str">
        <f t="shared" si="2"/>
        <v>1754483297.000</v>
      </c>
      <c r="E51" s="3">
        <f t="shared" si="3"/>
        <v>45875.519641203704</v>
      </c>
      <c r="F51" t="s">
        <v>405</v>
      </c>
      <c r="G51">
        <v>834</v>
      </c>
      <c r="H51">
        <v>25</v>
      </c>
      <c r="I51">
        <v>160</v>
      </c>
      <c r="J51">
        <v>188</v>
      </c>
      <c r="K51">
        <v>3541</v>
      </c>
      <c r="L51">
        <v>2.2400000000000002</v>
      </c>
      <c r="M51">
        <v>1172</v>
      </c>
      <c r="N51">
        <v>1397</v>
      </c>
      <c r="O51">
        <v>445</v>
      </c>
      <c r="P51">
        <v>51</v>
      </c>
      <c r="Q51">
        <v>3</v>
      </c>
      <c r="R51">
        <v>2</v>
      </c>
      <c r="S51">
        <v>21</v>
      </c>
      <c r="T51">
        <v>19</v>
      </c>
      <c r="U51">
        <v>6</v>
      </c>
      <c r="V51">
        <v>1768614443814</v>
      </c>
    </row>
    <row r="52" spans="1:22" x14ac:dyDescent="0.25">
      <c r="A52" t="s">
        <v>117</v>
      </c>
      <c r="B52" t="s">
        <v>118</v>
      </c>
      <c r="C52">
        <v>1754310164000</v>
      </c>
      <c r="D52" t="str">
        <f t="shared" si="2"/>
        <v>1754310164.000</v>
      </c>
      <c r="E52" s="3">
        <f t="shared" si="3"/>
        <v>45873.515787037039</v>
      </c>
      <c r="F52" t="s">
        <v>400</v>
      </c>
      <c r="G52">
        <v>504</v>
      </c>
      <c r="H52">
        <v>0</v>
      </c>
      <c r="I52">
        <v>123</v>
      </c>
      <c r="J52">
        <v>163</v>
      </c>
      <c r="K52">
        <v>768</v>
      </c>
      <c r="P52">
        <v>48</v>
      </c>
      <c r="Q52">
        <v>18</v>
      </c>
      <c r="R52">
        <v>19</v>
      </c>
      <c r="S52">
        <v>11</v>
      </c>
      <c r="T52">
        <v>0</v>
      </c>
      <c r="U52">
        <v>0</v>
      </c>
      <c r="V52">
        <v>1768614443831</v>
      </c>
    </row>
    <row r="53" spans="1:22" x14ac:dyDescent="0.25">
      <c r="A53" t="s">
        <v>119</v>
      </c>
      <c r="B53" t="s">
        <v>120</v>
      </c>
      <c r="C53">
        <v>1754059366000</v>
      </c>
      <c r="D53" t="str">
        <f t="shared" si="2"/>
        <v>1754059366.000</v>
      </c>
      <c r="E53" s="3">
        <f t="shared" si="3"/>
        <v>45870.613032407404</v>
      </c>
      <c r="F53" t="s">
        <v>405</v>
      </c>
      <c r="G53">
        <v>936</v>
      </c>
      <c r="H53">
        <v>33</v>
      </c>
      <c r="I53">
        <v>166</v>
      </c>
      <c r="J53">
        <v>192</v>
      </c>
      <c r="K53">
        <v>5061</v>
      </c>
      <c r="L53">
        <v>3.43</v>
      </c>
      <c r="M53">
        <v>1614</v>
      </c>
      <c r="N53">
        <v>1917</v>
      </c>
      <c r="O53">
        <v>550</v>
      </c>
      <c r="P53">
        <v>55</v>
      </c>
      <c r="Q53">
        <v>1</v>
      </c>
      <c r="R53">
        <v>2</v>
      </c>
      <c r="S53">
        <v>19</v>
      </c>
      <c r="T53">
        <v>20</v>
      </c>
      <c r="U53">
        <v>13</v>
      </c>
      <c r="V53">
        <v>1768614443860</v>
      </c>
    </row>
    <row r="54" spans="1:22" x14ac:dyDescent="0.25">
      <c r="A54" t="s">
        <v>121</v>
      </c>
      <c r="B54" t="s">
        <v>122</v>
      </c>
      <c r="C54">
        <v>1753709407000</v>
      </c>
      <c r="D54" t="str">
        <f t="shared" si="2"/>
        <v>1753709407.000</v>
      </c>
      <c r="E54" s="3">
        <f t="shared" si="3"/>
        <v>45866.562581018516</v>
      </c>
      <c r="F54" t="s">
        <v>406</v>
      </c>
      <c r="G54">
        <v>233</v>
      </c>
      <c r="H54">
        <v>6</v>
      </c>
      <c r="I54">
        <v>139</v>
      </c>
      <c r="J54">
        <v>175</v>
      </c>
      <c r="K54">
        <v>1328</v>
      </c>
      <c r="N54">
        <v>3840</v>
      </c>
      <c r="O54">
        <v>908</v>
      </c>
      <c r="P54">
        <v>17</v>
      </c>
      <c r="Q54">
        <v>5</v>
      </c>
      <c r="R54">
        <v>0</v>
      </c>
      <c r="S54">
        <v>6</v>
      </c>
      <c r="T54">
        <v>6</v>
      </c>
      <c r="U54">
        <v>0</v>
      </c>
      <c r="V54">
        <v>1768614443884</v>
      </c>
    </row>
    <row r="55" spans="1:22" x14ac:dyDescent="0.25">
      <c r="A55" t="s">
        <v>123</v>
      </c>
      <c r="B55" t="s">
        <v>124</v>
      </c>
      <c r="C55">
        <v>1752849771000</v>
      </c>
      <c r="D55" t="str">
        <f t="shared" si="2"/>
        <v>1752849771.000</v>
      </c>
      <c r="E55" s="3">
        <f t="shared" si="3"/>
        <v>45856.61309027778</v>
      </c>
      <c r="F55" t="s">
        <v>405</v>
      </c>
      <c r="G55">
        <v>907</v>
      </c>
      <c r="H55">
        <v>23</v>
      </c>
      <c r="I55">
        <v>161</v>
      </c>
      <c r="J55">
        <v>182</v>
      </c>
      <c r="K55">
        <v>5347</v>
      </c>
      <c r="L55">
        <v>2.84</v>
      </c>
      <c r="M55">
        <v>1532</v>
      </c>
      <c r="N55">
        <v>3429</v>
      </c>
      <c r="O55">
        <v>1659</v>
      </c>
      <c r="P55">
        <v>56</v>
      </c>
      <c r="Q55">
        <v>1</v>
      </c>
      <c r="R55">
        <v>1</v>
      </c>
      <c r="S55">
        <v>31</v>
      </c>
      <c r="T55">
        <v>23</v>
      </c>
      <c r="U55">
        <v>0</v>
      </c>
      <c r="V55">
        <v>1768614443911</v>
      </c>
    </row>
    <row r="56" spans="1:22" x14ac:dyDescent="0.25">
      <c r="A56" t="s">
        <v>125</v>
      </c>
      <c r="B56" t="s">
        <v>126</v>
      </c>
      <c r="C56">
        <v>1752495370000</v>
      </c>
      <c r="D56" t="str">
        <f t="shared" si="2"/>
        <v>1752495370.000</v>
      </c>
      <c r="E56" s="3">
        <f t="shared" si="3"/>
        <v>45852.511226851857</v>
      </c>
      <c r="F56" t="s">
        <v>400</v>
      </c>
      <c r="G56">
        <v>476</v>
      </c>
      <c r="H56">
        <v>0</v>
      </c>
      <c r="I56">
        <v>124</v>
      </c>
      <c r="J56">
        <v>163</v>
      </c>
      <c r="K56">
        <v>714</v>
      </c>
      <c r="P56">
        <v>44</v>
      </c>
      <c r="Q56">
        <v>13</v>
      </c>
      <c r="R56">
        <v>15</v>
      </c>
      <c r="S56">
        <v>16</v>
      </c>
      <c r="T56">
        <v>0</v>
      </c>
      <c r="U56">
        <v>0</v>
      </c>
      <c r="V56">
        <v>1768614443928</v>
      </c>
    </row>
    <row r="57" spans="1:22" x14ac:dyDescent="0.25">
      <c r="A57" t="s">
        <v>127</v>
      </c>
      <c r="B57" t="s">
        <v>128</v>
      </c>
      <c r="C57">
        <v>1752240766000</v>
      </c>
      <c r="D57" t="str">
        <f t="shared" si="2"/>
        <v>1752240766.000</v>
      </c>
      <c r="E57" s="3">
        <f t="shared" si="3"/>
        <v>45849.564421296294</v>
      </c>
      <c r="F57" t="s">
        <v>406</v>
      </c>
      <c r="G57">
        <v>840</v>
      </c>
      <c r="H57">
        <v>6</v>
      </c>
      <c r="I57">
        <v>150</v>
      </c>
      <c r="J57">
        <v>174</v>
      </c>
      <c r="K57">
        <v>3432</v>
      </c>
      <c r="L57">
        <v>1.53</v>
      </c>
      <c r="M57">
        <v>1003</v>
      </c>
      <c r="N57">
        <v>2969</v>
      </c>
      <c r="O57">
        <v>658</v>
      </c>
      <c r="P57">
        <v>57</v>
      </c>
      <c r="Q57">
        <v>1</v>
      </c>
      <c r="R57">
        <v>10</v>
      </c>
      <c r="S57">
        <v>40</v>
      </c>
      <c r="T57">
        <v>6</v>
      </c>
      <c r="U57">
        <v>0</v>
      </c>
      <c r="V57">
        <v>1768614443956</v>
      </c>
    </row>
    <row r="58" spans="1:22" x14ac:dyDescent="0.25">
      <c r="A58" t="s">
        <v>129</v>
      </c>
      <c r="B58" s="1" t="s">
        <v>130</v>
      </c>
      <c r="C58">
        <v>1751899367000</v>
      </c>
      <c r="D58" t="str">
        <f t="shared" si="2"/>
        <v>1751899367.000</v>
      </c>
      <c r="E58" s="3">
        <f t="shared" si="3"/>
        <v>45845.613043981488</v>
      </c>
      <c r="F58" t="s">
        <v>405</v>
      </c>
      <c r="G58">
        <v>889</v>
      </c>
      <c r="H58">
        <v>23</v>
      </c>
      <c r="I58">
        <v>157</v>
      </c>
      <c r="J58">
        <v>186</v>
      </c>
      <c r="K58">
        <v>4815</v>
      </c>
      <c r="L58">
        <v>3.5</v>
      </c>
      <c r="M58">
        <v>0</v>
      </c>
      <c r="N58">
        <v>1877</v>
      </c>
      <c r="O58">
        <v>687</v>
      </c>
      <c r="P58">
        <v>57</v>
      </c>
      <c r="Q58">
        <v>2</v>
      </c>
      <c r="R58">
        <v>7</v>
      </c>
      <c r="S58">
        <v>25</v>
      </c>
      <c r="T58">
        <v>21</v>
      </c>
      <c r="U58">
        <v>2</v>
      </c>
      <c r="V58">
        <v>1768614443984</v>
      </c>
    </row>
    <row r="59" spans="1:22" x14ac:dyDescent="0.25">
      <c r="A59" t="s">
        <v>131</v>
      </c>
      <c r="B59" t="s">
        <v>132</v>
      </c>
      <c r="C59">
        <v>1751545673000</v>
      </c>
      <c r="D59" t="str">
        <f t="shared" si="2"/>
        <v>1751545673.000</v>
      </c>
      <c r="E59" s="3">
        <f t="shared" si="3"/>
        <v>45841.519363425927</v>
      </c>
      <c r="F59" t="s">
        <v>405</v>
      </c>
      <c r="G59">
        <v>803</v>
      </c>
      <c r="H59">
        <v>14</v>
      </c>
      <c r="I59">
        <v>148</v>
      </c>
      <c r="J59">
        <v>179</v>
      </c>
      <c r="K59">
        <v>4790</v>
      </c>
      <c r="L59">
        <v>2.46</v>
      </c>
      <c r="M59">
        <v>1420</v>
      </c>
      <c r="N59">
        <v>2824</v>
      </c>
      <c r="O59">
        <v>916</v>
      </c>
      <c r="P59">
        <v>56</v>
      </c>
      <c r="Q59">
        <v>6</v>
      </c>
      <c r="R59">
        <v>9</v>
      </c>
      <c r="S59">
        <v>27</v>
      </c>
      <c r="T59">
        <v>14</v>
      </c>
      <c r="U59">
        <v>0</v>
      </c>
      <c r="V59">
        <v>1768614444008</v>
      </c>
    </row>
    <row r="60" spans="1:22" x14ac:dyDescent="0.25">
      <c r="A60" t="s">
        <v>133</v>
      </c>
      <c r="B60" t="s">
        <v>134</v>
      </c>
      <c r="C60">
        <v>1751294567000</v>
      </c>
      <c r="D60" t="str">
        <f t="shared" si="2"/>
        <v>1751294567.000</v>
      </c>
      <c r="E60" s="3">
        <f t="shared" si="3"/>
        <v>45838.613043981488</v>
      </c>
      <c r="F60" t="s">
        <v>405</v>
      </c>
      <c r="G60">
        <v>858</v>
      </c>
      <c r="H60">
        <v>18</v>
      </c>
      <c r="I60">
        <v>154</v>
      </c>
      <c r="J60">
        <v>182</v>
      </c>
      <c r="K60">
        <v>3854</v>
      </c>
      <c r="L60">
        <v>1.78</v>
      </c>
      <c r="M60">
        <v>1230</v>
      </c>
      <c r="N60">
        <v>1958</v>
      </c>
      <c r="O60">
        <v>457</v>
      </c>
      <c r="P60">
        <v>57</v>
      </c>
      <c r="Q60">
        <v>0</v>
      </c>
      <c r="R60">
        <v>10</v>
      </c>
      <c r="S60">
        <v>29</v>
      </c>
      <c r="T60">
        <v>17</v>
      </c>
      <c r="U60">
        <v>1</v>
      </c>
      <c r="V60">
        <v>1768614444032</v>
      </c>
    </row>
    <row r="61" spans="1:22" x14ac:dyDescent="0.25">
      <c r="A61" t="s">
        <v>135</v>
      </c>
      <c r="B61" t="s">
        <v>136</v>
      </c>
      <c r="C61">
        <v>1751035368000</v>
      </c>
      <c r="D61" t="str">
        <f t="shared" si="2"/>
        <v>1751035368.000</v>
      </c>
      <c r="E61" s="3">
        <f t="shared" si="3"/>
        <v>45835.613055555557</v>
      </c>
      <c r="F61" t="s">
        <v>405</v>
      </c>
      <c r="G61">
        <v>938</v>
      </c>
      <c r="H61">
        <v>29</v>
      </c>
      <c r="I61">
        <v>162</v>
      </c>
      <c r="J61">
        <v>185</v>
      </c>
      <c r="K61">
        <v>5017</v>
      </c>
      <c r="L61">
        <v>3.35</v>
      </c>
      <c r="M61">
        <v>1914</v>
      </c>
      <c r="N61">
        <v>745</v>
      </c>
      <c r="O61">
        <v>624</v>
      </c>
      <c r="P61">
        <v>57</v>
      </c>
      <c r="Q61">
        <v>0</v>
      </c>
      <c r="R61">
        <v>3</v>
      </c>
      <c r="S61">
        <v>25</v>
      </c>
      <c r="T61">
        <v>26</v>
      </c>
      <c r="U61">
        <v>3</v>
      </c>
      <c r="V61">
        <v>1768614444068</v>
      </c>
    </row>
    <row r="62" spans="1:22" x14ac:dyDescent="0.25">
      <c r="A62" t="s">
        <v>137</v>
      </c>
      <c r="B62" t="s">
        <v>138</v>
      </c>
      <c r="C62">
        <v>1697627662000</v>
      </c>
      <c r="D62" t="str">
        <f t="shared" si="2"/>
        <v>1697627662.000</v>
      </c>
      <c r="E62" s="3">
        <f t="shared" si="3"/>
        <v>45217.468310185184</v>
      </c>
      <c r="F62" t="s">
        <v>405</v>
      </c>
      <c r="G62">
        <v>949</v>
      </c>
      <c r="H62">
        <v>28</v>
      </c>
      <c r="I62">
        <v>160</v>
      </c>
      <c r="J62">
        <v>192</v>
      </c>
      <c r="K62">
        <v>4842</v>
      </c>
      <c r="L62">
        <v>3.03</v>
      </c>
      <c r="M62">
        <v>1673</v>
      </c>
      <c r="N62">
        <v>1072</v>
      </c>
      <c r="O62">
        <v>244</v>
      </c>
      <c r="P62">
        <v>58</v>
      </c>
      <c r="Q62">
        <v>2</v>
      </c>
      <c r="R62">
        <v>5</v>
      </c>
      <c r="S62">
        <v>23</v>
      </c>
      <c r="T62">
        <v>20</v>
      </c>
      <c r="U62">
        <v>8</v>
      </c>
      <c r="V62">
        <v>1768614444107</v>
      </c>
    </row>
    <row r="63" spans="1:22" x14ac:dyDescent="0.25">
      <c r="A63" t="s">
        <v>139</v>
      </c>
      <c r="B63" t="s">
        <v>140</v>
      </c>
      <c r="C63">
        <v>1694429890000</v>
      </c>
      <c r="D63" t="str">
        <f t="shared" si="2"/>
        <v>1694429890.000</v>
      </c>
      <c r="E63" s="3">
        <f t="shared" si="3"/>
        <v>45180.457060185188</v>
      </c>
      <c r="F63" t="s">
        <v>405</v>
      </c>
      <c r="G63">
        <v>914</v>
      </c>
      <c r="H63">
        <v>30</v>
      </c>
      <c r="I63">
        <v>159</v>
      </c>
      <c r="J63">
        <v>181</v>
      </c>
      <c r="K63">
        <v>4251</v>
      </c>
      <c r="L63">
        <v>2.0699999999999998</v>
      </c>
      <c r="M63">
        <v>1178</v>
      </c>
      <c r="N63">
        <v>2127</v>
      </c>
      <c r="O63">
        <v>1005</v>
      </c>
      <c r="P63">
        <v>56</v>
      </c>
      <c r="Q63">
        <v>3</v>
      </c>
      <c r="R63">
        <v>2</v>
      </c>
      <c r="S63">
        <v>21</v>
      </c>
      <c r="T63">
        <v>30</v>
      </c>
      <c r="U63">
        <v>0</v>
      </c>
      <c r="V63">
        <v>1768614444142</v>
      </c>
    </row>
    <row r="64" spans="1:22" x14ac:dyDescent="0.25">
      <c r="A64" t="s">
        <v>141</v>
      </c>
      <c r="B64" t="s">
        <v>142</v>
      </c>
      <c r="C64">
        <v>1692612174000</v>
      </c>
      <c r="D64" t="str">
        <f t="shared" si="2"/>
        <v>1692612174.000</v>
      </c>
      <c r="E64" s="3">
        <f t="shared" si="3"/>
        <v>45159.418680555551</v>
      </c>
      <c r="F64" t="s">
        <v>405</v>
      </c>
      <c r="G64">
        <v>857</v>
      </c>
      <c r="H64">
        <v>22</v>
      </c>
      <c r="I64">
        <v>149</v>
      </c>
      <c r="J64">
        <v>183</v>
      </c>
      <c r="K64">
        <v>4973</v>
      </c>
      <c r="P64">
        <v>59</v>
      </c>
      <c r="Q64">
        <v>5</v>
      </c>
      <c r="R64">
        <v>19</v>
      </c>
      <c r="S64">
        <v>13</v>
      </c>
      <c r="T64">
        <v>17</v>
      </c>
      <c r="U64">
        <v>5</v>
      </c>
      <c r="V64">
        <v>1768614444162</v>
      </c>
    </row>
    <row r="65" spans="1:22" x14ac:dyDescent="0.25">
      <c r="A65" t="s">
        <v>143</v>
      </c>
      <c r="B65" t="s">
        <v>144</v>
      </c>
      <c r="C65">
        <v>1692446274000</v>
      </c>
      <c r="D65" t="str">
        <f t="shared" si="2"/>
        <v>1692446274.000</v>
      </c>
      <c r="E65" s="3">
        <f t="shared" si="3"/>
        <v>45157.49854166666</v>
      </c>
      <c r="F65" t="s">
        <v>405</v>
      </c>
      <c r="G65">
        <v>887</v>
      </c>
      <c r="H65">
        <v>22</v>
      </c>
      <c r="I65">
        <v>158</v>
      </c>
      <c r="J65">
        <v>202</v>
      </c>
      <c r="K65">
        <v>4252</v>
      </c>
      <c r="L65">
        <v>2.5499999999999998</v>
      </c>
      <c r="M65">
        <v>1517</v>
      </c>
      <c r="N65">
        <v>1337</v>
      </c>
      <c r="O65">
        <v>381</v>
      </c>
      <c r="P65">
        <v>54</v>
      </c>
      <c r="Q65">
        <v>2</v>
      </c>
      <c r="R65">
        <v>6</v>
      </c>
      <c r="S65">
        <v>24</v>
      </c>
      <c r="T65">
        <v>16</v>
      </c>
      <c r="U65">
        <v>6</v>
      </c>
      <c r="V65">
        <v>1768614444189</v>
      </c>
    </row>
    <row r="66" spans="1:22" x14ac:dyDescent="0.25">
      <c r="A66" t="s">
        <v>145</v>
      </c>
      <c r="B66" t="s">
        <v>146</v>
      </c>
      <c r="C66">
        <v>1691147603000</v>
      </c>
      <c r="D66" t="str">
        <f t="shared" ref="D66:D97" si="4">LEFT(C66,10) &amp; "." &amp; RIGHT(C66,3)</f>
        <v>1691147603.000</v>
      </c>
      <c r="E66" s="3">
        <f t="shared" ref="E66:E97" si="5">(((D66/60)/60)/24)+DATE(1970,1,1)</f>
        <v>45142.467627314814</v>
      </c>
      <c r="F66" t="s">
        <v>405</v>
      </c>
      <c r="G66">
        <v>882</v>
      </c>
      <c r="H66">
        <v>22</v>
      </c>
      <c r="I66">
        <v>154</v>
      </c>
      <c r="J66">
        <v>186</v>
      </c>
      <c r="K66">
        <v>4252</v>
      </c>
      <c r="P66">
        <v>58</v>
      </c>
      <c r="Q66">
        <v>2</v>
      </c>
      <c r="R66">
        <v>10</v>
      </c>
      <c r="S66">
        <v>24</v>
      </c>
      <c r="T66">
        <v>18</v>
      </c>
      <c r="U66">
        <v>4</v>
      </c>
      <c r="V66">
        <v>1768614444206</v>
      </c>
    </row>
    <row r="67" spans="1:22" x14ac:dyDescent="0.25">
      <c r="A67" t="s">
        <v>147</v>
      </c>
      <c r="B67" t="s">
        <v>148</v>
      </c>
      <c r="C67">
        <v>1689801169000</v>
      </c>
      <c r="D67" t="str">
        <f t="shared" si="4"/>
        <v>1689801169.000</v>
      </c>
      <c r="E67" s="3">
        <f t="shared" si="5"/>
        <v>45126.883900462963</v>
      </c>
      <c r="F67" t="s">
        <v>405</v>
      </c>
      <c r="G67">
        <v>909</v>
      </c>
      <c r="H67">
        <v>27</v>
      </c>
      <c r="I67">
        <v>160</v>
      </c>
      <c r="J67">
        <v>190</v>
      </c>
      <c r="K67">
        <v>3291</v>
      </c>
      <c r="L67">
        <v>2.0099999999999998</v>
      </c>
      <c r="M67">
        <v>974</v>
      </c>
      <c r="N67">
        <v>2090</v>
      </c>
      <c r="O67">
        <v>597</v>
      </c>
      <c r="P67">
        <v>57</v>
      </c>
      <c r="Q67">
        <v>3</v>
      </c>
      <c r="R67">
        <v>6</v>
      </c>
      <c r="S67">
        <v>21</v>
      </c>
      <c r="T67">
        <v>19</v>
      </c>
      <c r="U67">
        <v>8</v>
      </c>
      <c r="V67">
        <v>1768614444233</v>
      </c>
    </row>
    <row r="68" spans="1:22" x14ac:dyDescent="0.25">
      <c r="A68" t="s">
        <v>149</v>
      </c>
      <c r="B68" t="s">
        <v>150</v>
      </c>
      <c r="C68">
        <v>1688986688000</v>
      </c>
      <c r="D68" t="str">
        <f t="shared" si="4"/>
        <v>1688986688.000</v>
      </c>
      <c r="E68" s="3">
        <f t="shared" si="5"/>
        <v>45117.457037037035</v>
      </c>
      <c r="F68" t="s">
        <v>406</v>
      </c>
      <c r="G68">
        <v>800</v>
      </c>
      <c r="H68">
        <v>16</v>
      </c>
      <c r="I68">
        <v>154</v>
      </c>
      <c r="J68">
        <v>183</v>
      </c>
      <c r="K68">
        <v>4094</v>
      </c>
      <c r="L68">
        <v>2.23</v>
      </c>
      <c r="M68">
        <v>1207</v>
      </c>
      <c r="N68">
        <v>1164</v>
      </c>
      <c r="O68">
        <v>632</v>
      </c>
      <c r="P68">
        <v>53</v>
      </c>
      <c r="Q68">
        <v>1</v>
      </c>
      <c r="R68">
        <v>8</v>
      </c>
      <c r="S68">
        <v>28</v>
      </c>
      <c r="T68">
        <v>15</v>
      </c>
      <c r="U68">
        <v>1</v>
      </c>
      <c r="V68">
        <v>1768614444276</v>
      </c>
    </row>
    <row r="69" spans="1:22" x14ac:dyDescent="0.25">
      <c r="A69" t="s">
        <v>151</v>
      </c>
      <c r="B69" t="s">
        <v>152</v>
      </c>
      <c r="C69">
        <v>1687797809000</v>
      </c>
      <c r="D69" t="str">
        <f t="shared" si="4"/>
        <v>1687797809.000</v>
      </c>
      <c r="E69" s="3">
        <f t="shared" si="5"/>
        <v>45103.696863425925</v>
      </c>
      <c r="F69" t="s">
        <v>405</v>
      </c>
      <c r="G69">
        <v>917</v>
      </c>
      <c r="H69">
        <v>23</v>
      </c>
      <c r="I69">
        <v>160</v>
      </c>
      <c r="J69">
        <v>191</v>
      </c>
      <c r="K69">
        <v>3659</v>
      </c>
      <c r="L69">
        <v>2.98</v>
      </c>
      <c r="M69">
        <v>1386</v>
      </c>
      <c r="N69">
        <v>355</v>
      </c>
      <c r="O69">
        <v>235</v>
      </c>
      <c r="P69">
        <v>56</v>
      </c>
      <c r="Q69">
        <v>2</v>
      </c>
      <c r="R69">
        <v>9</v>
      </c>
      <c r="S69">
        <v>22</v>
      </c>
      <c r="T69">
        <v>3</v>
      </c>
      <c r="U69">
        <v>20</v>
      </c>
      <c r="V69">
        <v>1768614444314</v>
      </c>
    </row>
    <row r="70" spans="1:22" x14ac:dyDescent="0.25">
      <c r="A70" t="s">
        <v>153</v>
      </c>
      <c r="B70" t="s">
        <v>154</v>
      </c>
      <c r="C70">
        <v>1687091394000</v>
      </c>
      <c r="D70" t="str">
        <f t="shared" si="4"/>
        <v>1687091394.000</v>
      </c>
      <c r="E70" s="3">
        <f t="shared" si="5"/>
        <v>45095.520763888882</v>
      </c>
      <c r="F70" t="s">
        <v>405</v>
      </c>
      <c r="G70">
        <v>853</v>
      </c>
      <c r="H70">
        <v>9</v>
      </c>
      <c r="I70">
        <v>148</v>
      </c>
      <c r="J70">
        <v>181</v>
      </c>
      <c r="K70">
        <v>3246</v>
      </c>
      <c r="L70">
        <v>1.63</v>
      </c>
      <c r="M70">
        <v>992</v>
      </c>
      <c r="N70">
        <v>396</v>
      </c>
      <c r="O70">
        <v>176</v>
      </c>
      <c r="P70">
        <v>59</v>
      </c>
      <c r="Q70">
        <v>4</v>
      </c>
      <c r="R70">
        <v>11</v>
      </c>
      <c r="S70">
        <v>35</v>
      </c>
      <c r="T70">
        <v>9</v>
      </c>
      <c r="U70">
        <v>0</v>
      </c>
      <c r="V70">
        <v>1768614444357</v>
      </c>
    </row>
    <row r="71" spans="1:22" x14ac:dyDescent="0.25">
      <c r="A71" t="s">
        <v>155</v>
      </c>
      <c r="B71" t="s">
        <v>156</v>
      </c>
      <c r="C71">
        <v>1686848311000</v>
      </c>
      <c r="D71" t="str">
        <f t="shared" si="4"/>
        <v>1686848311.000</v>
      </c>
      <c r="E71" s="3">
        <f t="shared" si="5"/>
        <v>45092.707303240735</v>
      </c>
      <c r="F71" t="s">
        <v>405</v>
      </c>
      <c r="G71">
        <v>932</v>
      </c>
      <c r="H71">
        <v>27</v>
      </c>
      <c r="I71">
        <v>158</v>
      </c>
      <c r="J71">
        <v>185</v>
      </c>
      <c r="K71">
        <v>4549</v>
      </c>
      <c r="L71">
        <v>3.23</v>
      </c>
      <c r="M71">
        <v>1690</v>
      </c>
      <c r="N71">
        <v>873</v>
      </c>
      <c r="O71">
        <v>363</v>
      </c>
      <c r="P71">
        <v>59</v>
      </c>
      <c r="Q71">
        <v>2</v>
      </c>
      <c r="R71">
        <v>5</v>
      </c>
      <c r="S71">
        <v>25</v>
      </c>
      <c r="T71">
        <v>25</v>
      </c>
      <c r="U71">
        <v>2</v>
      </c>
      <c r="V71">
        <v>1768614444387</v>
      </c>
    </row>
    <row r="72" spans="1:22" x14ac:dyDescent="0.25">
      <c r="A72" t="s">
        <v>157</v>
      </c>
      <c r="B72" t="s">
        <v>158</v>
      </c>
      <c r="C72">
        <v>1686674586000</v>
      </c>
      <c r="D72" t="str">
        <f t="shared" si="4"/>
        <v>1686674586.000</v>
      </c>
      <c r="E72" s="3">
        <f t="shared" si="5"/>
        <v>45090.696597222224</v>
      </c>
      <c r="F72" t="s">
        <v>405</v>
      </c>
      <c r="G72">
        <v>991</v>
      </c>
      <c r="H72">
        <v>34</v>
      </c>
      <c r="I72">
        <v>166</v>
      </c>
      <c r="J72">
        <v>191</v>
      </c>
      <c r="K72">
        <v>4751</v>
      </c>
      <c r="L72">
        <v>3.26</v>
      </c>
      <c r="M72">
        <v>1748</v>
      </c>
      <c r="N72">
        <v>1064</v>
      </c>
      <c r="O72">
        <v>527</v>
      </c>
      <c r="P72">
        <v>57</v>
      </c>
      <c r="Q72">
        <v>1</v>
      </c>
      <c r="R72">
        <v>2</v>
      </c>
      <c r="S72">
        <v>20</v>
      </c>
      <c r="T72">
        <v>25</v>
      </c>
      <c r="U72">
        <v>9</v>
      </c>
      <c r="V72">
        <v>1768614444415</v>
      </c>
    </row>
    <row r="73" spans="1:22" x14ac:dyDescent="0.25">
      <c r="A73" t="s">
        <v>159</v>
      </c>
      <c r="B73" t="s">
        <v>160</v>
      </c>
      <c r="C73">
        <v>1686156214000</v>
      </c>
      <c r="D73" t="str">
        <f t="shared" si="4"/>
        <v>1686156214.000</v>
      </c>
      <c r="E73" s="3">
        <f t="shared" si="5"/>
        <v>45084.696921296301</v>
      </c>
      <c r="F73" t="s">
        <v>405</v>
      </c>
      <c r="G73">
        <v>756</v>
      </c>
      <c r="H73">
        <v>25</v>
      </c>
      <c r="I73">
        <v>141</v>
      </c>
      <c r="J73">
        <v>185</v>
      </c>
      <c r="K73">
        <v>4565</v>
      </c>
      <c r="L73">
        <v>3.03</v>
      </c>
      <c r="M73">
        <v>1574</v>
      </c>
      <c r="N73">
        <v>1254</v>
      </c>
      <c r="O73">
        <v>744</v>
      </c>
      <c r="P73">
        <v>56</v>
      </c>
      <c r="Q73">
        <v>18</v>
      </c>
      <c r="R73">
        <v>2</v>
      </c>
      <c r="S73">
        <v>11</v>
      </c>
      <c r="T73">
        <v>20</v>
      </c>
      <c r="U73">
        <v>5</v>
      </c>
      <c r="V73">
        <v>1768614444438</v>
      </c>
    </row>
    <row r="74" spans="1:22" x14ac:dyDescent="0.25">
      <c r="A74" t="s">
        <v>161</v>
      </c>
      <c r="B74" t="s">
        <v>162</v>
      </c>
      <c r="C74">
        <v>1684342865000</v>
      </c>
      <c r="D74" t="str">
        <f t="shared" si="4"/>
        <v>1684342865.000</v>
      </c>
      <c r="E74" s="3">
        <f t="shared" si="5"/>
        <v>45063.709085648152</v>
      </c>
      <c r="F74" t="s">
        <v>405</v>
      </c>
      <c r="G74">
        <v>928</v>
      </c>
      <c r="H74">
        <v>17</v>
      </c>
      <c r="I74">
        <v>154</v>
      </c>
      <c r="J74">
        <v>197</v>
      </c>
      <c r="K74">
        <v>4621</v>
      </c>
      <c r="L74">
        <v>2.63</v>
      </c>
      <c r="M74">
        <v>1562</v>
      </c>
      <c r="P74">
        <v>60</v>
      </c>
      <c r="Q74">
        <v>3</v>
      </c>
      <c r="R74">
        <v>8</v>
      </c>
      <c r="S74">
        <v>32</v>
      </c>
      <c r="T74">
        <v>11</v>
      </c>
      <c r="U74">
        <v>6</v>
      </c>
      <c r="V74">
        <v>1768614444459</v>
      </c>
    </row>
    <row r="75" spans="1:22" x14ac:dyDescent="0.25">
      <c r="A75" t="s">
        <v>163</v>
      </c>
      <c r="B75" t="s">
        <v>164</v>
      </c>
      <c r="C75">
        <v>1682959391000</v>
      </c>
      <c r="D75" t="str">
        <f t="shared" si="4"/>
        <v>1682959391.000</v>
      </c>
      <c r="E75" s="3">
        <f t="shared" si="5"/>
        <v>45047.696655092594</v>
      </c>
      <c r="F75" t="s">
        <v>405</v>
      </c>
      <c r="G75">
        <v>850</v>
      </c>
      <c r="H75">
        <v>36</v>
      </c>
      <c r="I75">
        <v>167</v>
      </c>
      <c r="J75">
        <v>186</v>
      </c>
      <c r="K75">
        <v>4629</v>
      </c>
      <c r="L75">
        <v>3.1</v>
      </c>
      <c r="M75">
        <v>1678</v>
      </c>
      <c r="N75">
        <v>647</v>
      </c>
      <c r="O75">
        <v>668</v>
      </c>
      <c r="P75">
        <v>49</v>
      </c>
      <c r="Q75">
        <v>1</v>
      </c>
      <c r="R75">
        <v>2</v>
      </c>
      <c r="S75">
        <v>10</v>
      </c>
      <c r="T75">
        <v>24</v>
      </c>
      <c r="U75">
        <v>12</v>
      </c>
      <c r="V75">
        <v>1768614444492</v>
      </c>
    </row>
    <row r="76" spans="1:22" x14ac:dyDescent="0.25">
      <c r="A76" t="s">
        <v>165</v>
      </c>
      <c r="B76" t="s">
        <v>166</v>
      </c>
      <c r="C76">
        <v>1682457766000</v>
      </c>
      <c r="D76" t="str">
        <f t="shared" si="4"/>
        <v>1682457766.000</v>
      </c>
      <c r="E76" s="3">
        <f t="shared" si="5"/>
        <v>45041.890810185185</v>
      </c>
      <c r="F76" t="s">
        <v>405</v>
      </c>
      <c r="G76">
        <v>864</v>
      </c>
      <c r="H76">
        <v>24</v>
      </c>
      <c r="I76">
        <v>155</v>
      </c>
      <c r="J76">
        <v>185</v>
      </c>
      <c r="K76">
        <v>4014</v>
      </c>
      <c r="L76">
        <v>2.76</v>
      </c>
      <c r="M76">
        <v>1498</v>
      </c>
      <c r="N76">
        <v>1145</v>
      </c>
      <c r="O76">
        <v>701</v>
      </c>
      <c r="P76">
        <v>54</v>
      </c>
      <c r="Q76">
        <v>3</v>
      </c>
      <c r="R76">
        <v>5</v>
      </c>
      <c r="S76">
        <v>22</v>
      </c>
      <c r="T76">
        <v>23</v>
      </c>
      <c r="U76">
        <v>1</v>
      </c>
      <c r="V76">
        <v>1768614444526</v>
      </c>
    </row>
    <row r="77" spans="1:22" x14ac:dyDescent="0.25">
      <c r="A77" t="s">
        <v>167</v>
      </c>
      <c r="B77" t="s">
        <v>168</v>
      </c>
      <c r="C77">
        <v>1682009906000</v>
      </c>
      <c r="D77" t="str">
        <f t="shared" si="4"/>
        <v>1682009906.000</v>
      </c>
      <c r="E77" s="3">
        <f t="shared" si="5"/>
        <v>45036.707245370373</v>
      </c>
      <c r="F77" t="s">
        <v>405</v>
      </c>
      <c r="G77">
        <v>954</v>
      </c>
      <c r="H77">
        <v>36</v>
      </c>
      <c r="I77">
        <v>162</v>
      </c>
      <c r="J77">
        <v>181</v>
      </c>
      <c r="K77">
        <v>4076</v>
      </c>
      <c r="L77">
        <v>2.34</v>
      </c>
      <c r="M77">
        <v>1390</v>
      </c>
      <c r="N77">
        <v>1243</v>
      </c>
      <c r="O77">
        <v>769</v>
      </c>
      <c r="P77">
        <v>59</v>
      </c>
      <c r="Q77">
        <v>2</v>
      </c>
      <c r="R77">
        <v>3</v>
      </c>
      <c r="S77">
        <v>18</v>
      </c>
      <c r="T77">
        <v>33</v>
      </c>
      <c r="U77">
        <v>3</v>
      </c>
      <c r="V77">
        <v>1768614444559</v>
      </c>
    </row>
    <row r="78" spans="1:22" x14ac:dyDescent="0.25">
      <c r="A78" t="s">
        <v>169</v>
      </c>
      <c r="B78" t="s">
        <v>170</v>
      </c>
      <c r="C78">
        <v>1681837070000</v>
      </c>
      <c r="D78" t="str">
        <f t="shared" si="4"/>
        <v>1681837070.000</v>
      </c>
      <c r="E78" s="3">
        <f t="shared" si="5"/>
        <v>45034.706828703704</v>
      </c>
      <c r="F78" t="s">
        <v>405</v>
      </c>
      <c r="G78">
        <v>903</v>
      </c>
      <c r="H78">
        <v>28</v>
      </c>
      <c r="I78">
        <v>161</v>
      </c>
      <c r="J78">
        <v>186</v>
      </c>
      <c r="K78">
        <v>4513</v>
      </c>
      <c r="L78">
        <v>3.03</v>
      </c>
      <c r="M78">
        <v>1567</v>
      </c>
      <c r="N78">
        <v>985</v>
      </c>
      <c r="O78">
        <v>450</v>
      </c>
      <c r="P78">
        <v>55</v>
      </c>
      <c r="Q78">
        <v>1</v>
      </c>
      <c r="R78">
        <v>3</v>
      </c>
      <c r="S78">
        <v>23</v>
      </c>
      <c r="T78">
        <v>25</v>
      </c>
      <c r="U78">
        <v>3</v>
      </c>
      <c r="V78">
        <v>1768614444590</v>
      </c>
    </row>
    <row r="79" spans="1:22" x14ac:dyDescent="0.25">
      <c r="A79" t="s">
        <v>171</v>
      </c>
      <c r="B79" t="s">
        <v>172</v>
      </c>
      <c r="C79">
        <v>1680800281000</v>
      </c>
      <c r="D79" t="str">
        <f t="shared" si="4"/>
        <v>1680800281.000</v>
      </c>
      <c r="E79" s="3">
        <f t="shared" si="5"/>
        <v>45022.706956018519</v>
      </c>
      <c r="F79" t="s">
        <v>405</v>
      </c>
      <c r="G79">
        <v>795</v>
      </c>
      <c r="H79">
        <v>16</v>
      </c>
      <c r="I79">
        <v>152</v>
      </c>
      <c r="J79">
        <v>182</v>
      </c>
      <c r="K79">
        <v>3151</v>
      </c>
      <c r="L79">
        <v>1.58</v>
      </c>
      <c r="M79">
        <v>838</v>
      </c>
      <c r="N79">
        <v>1551</v>
      </c>
      <c r="O79">
        <v>511</v>
      </c>
      <c r="P79">
        <v>52</v>
      </c>
      <c r="Q79">
        <v>4</v>
      </c>
      <c r="R79">
        <v>4</v>
      </c>
      <c r="S79">
        <v>28</v>
      </c>
      <c r="T79">
        <v>15</v>
      </c>
      <c r="U79">
        <v>1</v>
      </c>
      <c r="V79">
        <v>1768614444614</v>
      </c>
    </row>
    <row r="80" spans="1:22" x14ac:dyDescent="0.25">
      <c r="A80" t="s">
        <v>173</v>
      </c>
      <c r="B80" t="s">
        <v>174</v>
      </c>
      <c r="C80">
        <v>1680195487000</v>
      </c>
      <c r="D80" t="str">
        <f t="shared" si="4"/>
        <v>1680195487.000</v>
      </c>
      <c r="E80" s="3">
        <f t="shared" si="5"/>
        <v>45015.707025462965</v>
      </c>
      <c r="F80" t="s">
        <v>405</v>
      </c>
      <c r="G80">
        <v>967</v>
      </c>
      <c r="H80">
        <v>38</v>
      </c>
      <c r="I80">
        <v>164</v>
      </c>
      <c r="J80">
        <v>188</v>
      </c>
      <c r="K80">
        <v>4106</v>
      </c>
      <c r="L80">
        <v>3.39</v>
      </c>
      <c r="M80">
        <v>1633</v>
      </c>
      <c r="P80">
        <v>57</v>
      </c>
      <c r="Q80">
        <v>2</v>
      </c>
      <c r="R80">
        <v>4</v>
      </c>
      <c r="S80">
        <v>13</v>
      </c>
      <c r="T80">
        <v>26</v>
      </c>
      <c r="U80">
        <v>12</v>
      </c>
      <c r="V80">
        <v>1768614444635</v>
      </c>
    </row>
    <row r="81" spans="1:22" x14ac:dyDescent="0.25">
      <c r="A81" t="s">
        <v>175</v>
      </c>
      <c r="B81" t="s">
        <v>176</v>
      </c>
      <c r="C81">
        <v>1679418012000</v>
      </c>
      <c r="D81" t="str">
        <f t="shared" si="4"/>
        <v>1679418012.000</v>
      </c>
      <c r="E81" s="3">
        <f t="shared" si="5"/>
        <v>45006.708472222221</v>
      </c>
      <c r="F81" t="s">
        <v>405</v>
      </c>
      <c r="G81">
        <v>870</v>
      </c>
      <c r="H81">
        <v>25</v>
      </c>
      <c r="I81">
        <v>150</v>
      </c>
      <c r="J81">
        <v>186</v>
      </c>
      <c r="K81">
        <v>4046</v>
      </c>
      <c r="L81">
        <v>1.86</v>
      </c>
      <c r="M81">
        <v>1008</v>
      </c>
      <c r="N81">
        <v>2318</v>
      </c>
      <c r="O81">
        <v>948</v>
      </c>
      <c r="P81">
        <v>59</v>
      </c>
      <c r="Q81">
        <v>10</v>
      </c>
      <c r="R81">
        <v>9</v>
      </c>
      <c r="S81">
        <v>15</v>
      </c>
      <c r="T81">
        <v>18</v>
      </c>
      <c r="U81">
        <v>7</v>
      </c>
      <c r="V81">
        <v>1768614444663</v>
      </c>
    </row>
    <row r="82" spans="1:22" x14ac:dyDescent="0.25">
      <c r="A82" t="s">
        <v>177</v>
      </c>
      <c r="B82" t="s">
        <v>178</v>
      </c>
      <c r="C82">
        <v>1678726679000</v>
      </c>
      <c r="D82" t="str">
        <f t="shared" si="4"/>
        <v>1678726679.000</v>
      </c>
      <c r="E82" s="3">
        <f t="shared" si="5"/>
        <v>44998.706932870366</v>
      </c>
      <c r="F82" t="s">
        <v>405</v>
      </c>
      <c r="G82">
        <v>919</v>
      </c>
      <c r="H82">
        <v>32</v>
      </c>
      <c r="I82">
        <v>160</v>
      </c>
      <c r="J82">
        <v>186</v>
      </c>
      <c r="K82">
        <v>4338</v>
      </c>
      <c r="L82">
        <v>2.86</v>
      </c>
      <c r="M82">
        <v>1462</v>
      </c>
      <c r="N82">
        <v>2524</v>
      </c>
      <c r="O82">
        <v>1161</v>
      </c>
      <c r="P82">
        <v>58</v>
      </c>
      <c r="Q82">
        <v>2</v>
      </c>
      <c r="R82">
        <v>5</v>
      </c>
      <c r="S82">
        <v>19</v>
      </c>
      <c r="T82">
        <v>25</v>
      </c>
      <c r="U82">
        <v>7</v>
      </c>
      <c r="V82">
        <v>1768614444693</v>
      </c>
    </row>
    <row r="83" spans="1:22" x14ac:dyDescent="0.25">
      <c r="A83" t="s">
        <v>179</v>
      </c>
      <c r="B83" t="s">
        <v>180</v>
      </c>
      <c r="C83">
        <v>1678297433000</v>
      </c>
      <c r="D83" t="str">
        <f t="shared" si="4"/>
        <v>1678297433.000</v>
      </c>
      <c r="E83" s="3">
        <f t="shared" si="5"/>
        <v>44993.738807870366</v>
      </c>
      <c r="F83" t="s">
        <v>405</v>
      </c>
      <c r="G83">
        <v>885</v>
      </c>
      <c r="H83">
        <v>36</v>
      </c>
      <c r="I83">
        <v>160</v>
      </c>
      <c r="J83">
        <v>186</v>
      </c>
      <c r="K83">
        <v>3920</v>
      </c>
      <c r="L83">
        <v>2.16</v>
      </c>
      <c r="M83">
        <v>1023</v>
      </c>
      <c r="N83">
        <v>2501</v>
      </c>
      <c r="O83">
        <v>920</v>
      </c>
      <c r="P83">
        <v>55</v>
      </c>
      <c r="Q83">
        <v>4</v>
      </c>
      <c r="R83">
        <v>4</v>
      </c>
      <c r="S83">
        <v>11</v>
      </c>
      <c r="T83">
        <v>35</v>
      </c>
      <c r="U83">
        <v>1</v>
      </c>
      <c r="V83">
        <v>1768614444720</v>
      </c>
    </row>
    <row r="84" spans="1:22" x14ac:dyDescent="0.25">
      <c r="A84" t="s">
        <v>181</v>
      </c>
      <c r="B84" t="s">
        <v>182</v>
      </c>
      <c r="C84">
        <v>1677866445000</v>
      </c>
      <c r="D84" t="str">
        <f t="shared" si="4"/>
        <v>1677866445.000</v>
      </c>
      <c r="E84" s="3">
        <f t="shared" si="5"/>
        <v>44988.750520833331</v>
      </c>
      <c r="F84" t="s">
        <v>405</v>
      </c>
      <c r="G84">
        <v>785</v>
      </c>
      <c r="H84">
        <v>14</v>
      </c>
      <c r="I84">
        <v>142</v>
      </c>
      <c r="J84">
        <v>187</v>
      </c>
      <c r="K84">
        <v>3436</v>
      </c>
      <c r="L84">
        <v>2.0699999999999998</v>
      </c>
      <c r="M84">
        <v>1143</v>
      </c>
      <c r="N84">
        <v>2283</v>
      </c>
      <c r="O84">
        <v>531</v>
      </c>
      <c r="P84">
        <v>57</v>
      </c>
      <c r="Q84">
        <v>9</v>
      </c>
      <c r="R84">
        <v>15</v>
      </c>
      <c r="S84">
        <v>19</v>
      </c>
      <c r="T84">
        <v>12</v>
      </c>
      <c r="U84">
        <v>2</v>
      </c>
      <c r="V84">
        <v>1768614444747</v>
      </c>
    </row>
    <row r="85" spans="1:22" x14ac:dyDescent="0.25">
      <c r="A85" t="s">
        <v>183</v>
      </c>
      <c r="B85" t="s">
        <v>184</v>
      </c>
      <c r="C85">
        <v>1677606187000</v>
      </c>
      <c r="D85" t="str">
        <f t="shared" si="4"/>
        <v>1677606187.000</v>
      </c>
      <c r="E85" s="3">
        <f t="shared" si="5"/>
        <v>44985.738275462965</v>
      </c>
      <c r="F85" t="s">
        <v>405</v>
      </c>
      <c r="G85">
        <v>769</v>
      </c>
      <c r="H85">
        <v>29</v>
      </c>
      <c r="I85">
        <v>164</v>
      </c>
      <c r="J85">
        <v>187</v>
      </c>
      <c r="K85">
        <v>4329</v>
      </c>
      <c r="L85">
        <v>3.36</v>
      </c>
      <c r="M85">
        <v>1624</v>
      </c>
      <c r="P85">
        <v>46</v>
      </c>
      <c r="Q85">
        <v>1</v>
      </c>
      <c r="R85">
        <v>5</v>
      </c>
      <c r="S85">
        <v>11</v>
      </c>
      <c r="T85">
        <v>17</v>
      </c>
      <c r="U85">
        <v>12</v>
      </c>
      <c r="V85">
        <v>1768614444767</v>
      </c>
    </row>
    <row r="86" spans="1:22" x14ac:dyDescent="0.25">
      <c r="A86" t="s">
        <v>185</v>
      </c>
      <c r="B86" t="s">
        <v>186</v>
      </c>
      <c r="C86">
        <v>1677175176000</v>
      </c>
      <c r="D86" t="str">
        <f t="shared" si="4"/>
        <v>1677175176.000</v>
      </c>
      <c r="E86" s="3">
        <f t="shared" si="5"/>
        <v>44980.749722222223</v>
      </c>
      <c r="F86" t="s">
        <v>405</v>
      </c>
      <c r="G86">
        <v>948</v>
      </c>
      <c r="H86">
        <v>30</v>
      </c>
      <c r="I86">
        <v>160</v>
      </c>
      <c r="J86">
        <v>186</v>
      </c>
      <c r="K86">
        <v>4919</v>
      </c>
      <c r="L86">
        <v>3.37</v>
      </c>
      <c r="M86">
        <v>1695</v>
      </c>
      <c r="N86">
        <v>1382</v>
      </c>
      <c r="O86">
        <v>438</v>
      </c>
      <c r="P86">
        <v>59</v>
      </c>
      <c r="Q86">
        <v>0</v>
      </c>
      <c r="R86">
        <v>6</v>
      </c>
      <c r="S86">
        <v>23</v>
      </c>
      <c r="T86">
        <v>28</v>
      </c>
      <c r="U86">
        <v>2</v>
      </c>
      <c r="V86">
        <v>1768614444805</v>
      </c>
    </row>
    <row r="87" spans="1:22" x14ac:dyDescent="0.25">
      <c r="A87" t="s">
        <v>187</v>
      </c>
      <c r="B87" t="s">
        <v>188</v>
      </c>
      <c r="C87">
        <v>1676894295000</v>
      </c>
      <c r="D87" t="str">
        <f t="shared" si="4"/>
        <v>1676894295.000</v>
      </c>
      <c r="E87" s="3">
        <f t="shared" si="5"/>
        <v>44977.498784722222</v>
      </c>
      <c r="F87" t="s">
        <v>406</v>
      </c>
      <c r="G87">
        <v>664</v>
      </c>
      <c r="H87">
        <v>13</v>
      </c>
      <c r="I87">
        <v>129</v>
      </c>
      <c r="J87">
        <v>175</v>
      </c>
      <c r="K87">
        <v>3548</v>
      </c>
      <c r="L87">
        <v>2.02</v>
      </c>
      <c r="M87">
        <v>1028</v>
      </c>
      <c r="N87">
        <v>2695</v>
      </c>
      <c r="O87">
        <v>1345</v>
      </c>
      <c r="P87">
        <v>57</v>
      </c>
      <c r="Q87">
        <v>23</v>
      </c>
      <c r="R87">
        <v>7</v>
      </c>
      <c r="S87">
        <v>14</v>
      </c>
      <c r="T87">
        <v>13</v>
      </c>
      <c r="U87">
        <v>0</v>
      </c>
      <c r="V87">
        <v>1768614444844</v>
      </c>
    </row>
    <row r="88" spans="1:22" x14ac:dyDescent="0.25">
      <c r="A88" t="s">
        <v>189</v>
      </c>
      <c r="B88" t="s">
        <v>190</v>
      </c>
      <c r="C88">
        <v>1676570286000</v>
      </c>
      <c r="D88" t="str">
        <f t="shared" si="4"/>
        <v>1676570286.000</v>
      </c>
      <c r="E88" s="3">
        <f t="shared" si="5"/>
        <v>44973.748680555553</v>
      </c>
      <c r="F88" t="s">
        <v>405</v>
      </c>
      <c r="G88">
        <v>932</v>
      </c>
      <c r="H88">
        <v>28</v>
      </c>
      <c r="I88">
        <v>159</v>
      </c>
      <c r="J88">
        <v>183</v>
      </c>
      <c r="K88">
        <v>4558</v>
      </c>
      <c r="L88">
        <v>3.43</v>
      </c>
      <c r="M88">
        <v>1747</v>
      </c>
      <c r="N88">
        <v>903</v>
      </c>
      <c r="O88">
        <v>391</v>
      </c>
      <c r="P88">
        <v>58</v>
      </c>
      <c r="Q88">
        <v>2</v>
      </c>
      <c r="R88">
        <v>4</v>
      </c>
      <c r="S88">
        <v>24</v>
      </c>
      <c r="T88">
        <v>25</v>
      </c>
      <c r="U88">
        <v>3</v>
      </c>
      <c r="V88">
        <v>1768614444875</v>
      </c>
    </row>
    <row r="89" spans="1:22" x14ac:dyDescent="0.25">
      <c r="A89" t="s">
        <v>191</v>
      </c>
      <c r="B89" t="s">
        <v>192</v>
      </c>
      <c r="C89">
        <v>1676311195000</v>
      </c>
      <c r="D89" t="str">
        <f t="shared" si="4"/>
        <v>1676311195.000</v>
      </c>
      <c r="E89" s="3">
        <f t="shared" si="5"/>
        <v>44970.749942129631</v>
      </c>
      <c r="F89" t="s">
        <v>405</v>
      </c>
      <c r="G89">
        <v>857</v>
      </c>
      <c r="H89">
        <v>25</v>
      </c>
      <c r="I89">
        <v>149</v>
      </c>
      <c r="J89">
        <v>180</v>
      </c>
      <c r="K89">
        <v>4562</v>
      </c>
      <c r="L89">
        <v>3.3</v>
      </c>
      <c r="M89">
        <v>1545</v>
      </c>
      <c r="N89">
        <v>850</v>
      </c>
      <c r="O89">
        <v>493</v>
      </c>
      <c r="P89">
        <v>60</v>
      </c>
      <c r="Q89">
        <v>10</v>
      </c>
      <c r="R89">
        <v>8</v>
      </c>
      <c r="S89">
        <v>17</v>
      </c>
      <c r="T89">
        <v>24</v>
      </c>
      <c r="U89">
        <v>1</v>
      </c>
      <c r="V89">
        <v>1768614444915</v>
      </c>
    </row>
    <row r="90" spans="1:22" x14ac:dyDescent="0.25">
      <c r="A90" t="s">
        <v>193</v>
      </c>
      <c r="B90" t="s">
        <v>194</v>
      </c>
      <c r="C90">
        <v>1675791790000</v>
      </c>
      <c r="D90" t="str">
        <f t="shared" si="4"/>
        <v>1675791790.000</v>
      </c>
      <c r="E90" s="3">
        <f t="shared" si="5"/>
        <v>44964.738310185188</v>
      </c>
      <c r="F90" t="s">
        <v>405</v>
      </c>
      <c r="G90">
        <v>937</v>
      </c>
      <c r="H90">
        <v>34</v>
      </c>
      <c r="I90">
        <v>160</v>
      </c>
      <c r="J90">
        <v>208</v>
      </c>
      <c r="K90">
        <v>4108</v>
      </c>
      <c r="L90">
        <v>3.12</v>
      </c>
      <c r="M90">
        <v>1566</v>
      </c>
      <c r="N90">
        <v>1084</v>
      </c>
      <c r="O90">
        <v>705</v>
      </c>
      <c r="P90">
        <v>58</v>
      </c>
      <c r="Q90">
        <v>4</v>
      </c>
      <c r="R90">
        <v>3</v>
      </c>
      <c r="S90">
        <v>17</v>
      </c>
      <c r="T90">
        <v>21</v>
      </c>
      <c r="U90">
        <v>13</v>
      </c>
      <c r="V90">
        <v>1768614444953</v>
      </c>
    </row>
    <row r="91" spans="1:22" x14ac:dyDescent="0.25">
      <c r="A91" t="s">
        <v>195</v>
      </c>
      <c r="B91" t="s">
        <v>196</v>
      </c>
      <c r="C91">
        <v>1675101486000</v>
      </c>
      <c r="D91" t="str">
        <f t="shared" si="4"/>
        <v>1675101486.000</v>
      </c>
      <c r="E91" s="3">
        <f t="shared" si="5"/>
        <v>44956.748680555553</v>
      </c>
      <c r="F91" t="s">
        <v>405</v>
      </c>
      <c r="G91">
        <v>769</v>
      </c>
      <c r="H91">
        <v>23</v>
      </c>
      <c r="I91">
        <v>142</v>
      </c>
      <c r="J91">
        <v>182</v>
      </c>
      <c r="K91">
        <v>3876</v>
      </c>
      <c r="L91">
        <v>2.3199999999999998</v>
      </c>
      <c r="M91">
        <v>1442</v>
      </c>
      <c r="N91">
        <v>898</v>
      </c>
      <c r="O91">
        <v>340</v>
      </c>
      <c r="P91">
        <v>56</v>
      </c>
      <c r="Q91">
        <v>17</v>
      </c>
      <c r="R91">
        <v>4</v>
      </c>
      <c r="S91">
        <v>12</v>
      </c>
      <c r="T91">
        <v>22</v>
      </c>
      <c r="U91">
        <v>1</v>
      </c>
      <c r="V91">
        <v>1768614444995</v>
      </c>
    </row>
    <row r="92" spans="1:22" x14ac:dyDescent="0.25">
      <c r="A92" t="s">
        <v>197</v>
      </c>
      <c r="B92" t="s">
        <v>198</v>
      </c>
      <c r="C92">
        <v>1674668678000</v>
      </c>
      <c r="D92" t="str">
        <f t="shared" si="4"/>
        <v>1674668678.000</v>
      </c>
      <c r="E92" s="3">
        <f t="shared" si="5"/>
        <v>44951.739328703698</v>
      </c>
      <c r="F92" t="s">
        <v>405</v>
      </c>
      <c r="G92">
        <v>798</v>
      </c>
      <c r="H92">
        <v>19</v>
      </c>
      <c r="I92">
        <v>150</v>
      </c>
      <c r="J92">
        <v>182</v>
      </c>
      <c r="K92">
        <v>4097</v>
      </c>
      <c r="L92">
        <v>2.62</v>
      </c>
      <c r="M92">
        <v>1418</v>
      </c>
      <c r="N92">
        <v>230</v>
      </c>
      <c r="O92">
        <v>55</v>
      </c>
      <c r="P92">
        <v>54</v>
      </c>
      <c r="Q92">
        <v>5</v>
      </c>
      <c r="R92">
        <v>9</v>
      </c>
      <c r="S92">
        <v>21</v>
      </c>
      <c r="T92">
        <v>18</v>
      </c>
      <c r="U92">
        <v>1</v>
      </c>
      <c r="V92">
        <v>1768614445035</v>
      </c>
    </row>
    <row r="93" spans="1:22" x14ac:dyDescent="0.25">
      <c r="A93" t="s">
        <v>199</v>
      </c>
      <c r="B93" t="s">
        <v>200</v>
      </c>
      <c r="C93">
        <v>1674064684000</v>
      </c>
      <c r="D93" t="str">
        <f t="shared" si="4"/>
        <v>1674064684.000</v>
      </c>
      <c r="E93" s="3">
        <f t="shared" si="5"/>
        <v>44944.748657407406</v>
      </c>
      <c r="F93" t="s">
        <v>406</v>
      </c>
      <c r="G93">
        <v>871</v>
      </c>
      <c r="H93">
        <v>27</v>
      </c>
      <c r="I93">
        <v>155</v>
      </c>
      <c r="J93">
        <v>181</v>
      </c>
      <c r="K93">
        <v>3807</v>
      </c>
      <c r="L93">
        <v>1.89</v>
      </c>
      <c r="M93">
        <v>962</v>
      </c>
      <c r="N93">
        <v>2522</v>
      </c>
      <c r="O93">
        <v>1252</v>
      </c>
      <c r="P93">
        <v>56</v>
      </c>
      <c r="Q93">
        <v>2</v>
      </c>
      <c r="R93">
        <v>3</v>
      </c>
      <c r="S93">
        <v>24</v>
      </c>
      <c r="T93">
        <v>23</v>
      </c>
      <c r="U93">
        <v>4</v>
      </c>
      <c r="V93">
        <v>1768614445073</v>
      </c>
    </row>
    <row r="94" spans="1:22" x14ac:dyDescent="0.25">
      <c r="A94" t="s">
        <v>201</v>
      </c>
      <c r="B94" t="s">
        <v>202</v>
      </c>
      <c r="C94">
        <v>1673459962000</v>
      </c>
      <c r="D94" t="str">
        <f t="shared" si="4"/>
        <v>1673459962.000</v>
      </c>
      <c r="E94" s="3">
        <f t="shared" si="5"/>
        <v>44937.749560185184</v>
      </c>
      <c r="F94" t="s">
        <v>405</v>
      </c>
      <c r="G94">
        <v>831</v>
      </c>
      <c r="H94">
        <v>12</v>
      </c>
      <c r="I94">
        <v>147</v>
      </c>
      <c r="J94">
        <v>190</v>
      </c>
      <c r="K94">
        <v>4044</v>
      </c>
      <c r="L94">
        <v>2.33</v>
      </c>
      <c r="M94">
        <v>1239</v>
      </c>
      <c r="N94">
        <v>364</v>
      </c>
      <c r="O94">
        <v>358</v>
      </c>
      <c r="P94">
        <v>58</v>
      </c>
      <c r="Q94">
        <v>4</v>
      </c>
      <c r="R94">
        <v>14</v>
      </c>
      <c r="S94">
        <v>28</v>
      </c>
      <c r="T94">
        <v>6</v>
      </c>
      <c r="U94">
        <v>6</v>
      </c>
      <c r="V94">
        <v>1768614445101</v>
      </c>
    </row>
    <row r="95" spans="1:22" x14ac:dyDescent="0.25">
      <c r="A95" t="s">
        <v>203</v>
      </c>
      <c r="B95" t="s">
        <v>204</v>
      </c>
      <c r="C95">
        <v>1672941537000</v>
      </c>
      <c r="D95" t="str">
        <f t="shared" si="4"/>
        <v>1672941537.000</v>
      </c>
      <c r="E95" s="3">
        <f t="shared" si="5"/>
        <v>44931.74927083333</v>
      </c>
      <c r="F95" t="s">
        <v>405</v>
      </c>
      <c r="G95">
        <v>836</v>
      </c>
      <c r="H95">
        <v>22</v>
      </c>
      <c r="I95">
        <v>157</v>
      </c>
      <c r="J95">
        <v>186</v>
      </c>
      <c r="K95">
        <v>4169</v>
      </c>
      <c r="L95">
        <v>3.03</v>
      </c>
      <c r="M95">
        <v>1519</v>
      </c>
      <c r="P95">
        <v>52</v>
      </c>
      <c r="Q95">
        <v>3</v>
      </c>
      <c r="R95">
        <v>5</v>
      </c>
      <c r="S95">
        <v>22</v>
      </c>
      <c r="T95">
        <v>16</v>
      </c>
      <c r="U95">
        <v>6</v>
      </c>
      <c r="V95">
        <v>1768614445127</v>
      </c>
    </row>
    <row r="96" spans="1:22" x14ac:dyDescent="0.25">
      <c r="A96" t="s">
        <v>205</v>
      </c>
      <c r="B96" t="s">
        <v>206</v>
      </c>
      <c r="C96">
        <v>1672768685000</v>
      </c>
      <c r="D96" t="str">
        <f t="shared" si="4"/>
        <v>1672768685.000</v>
      </c>
      <c r="E96" s="3">
        <f t="shared" si="5"/>
        <v>44929.748668981483</v>
      </c>
      <c r="F96" t="s">
        <v>405</v>
      </c>
      <c r="G96">
        <v>873</v>
      </c>
      <c r="H96">
        <v>23</v>
      </c>
      <c r="I96">
        <v>152</v>
      </c>
      <c r="J96">
        <v>189</v>
      </c>
      <c r="K96">
        <v>4518</v>
      </c>
      <c r="L96">
        <v>2.92</v>
      </c>
      <c r="M96">
        <v>1545</v>
      </c>
      <c r="N96">
        <v>901</v>
      </c>
      <c r="O96">
        <v>435</v>
      </c>
      <c r="P96">
        <v>58</v>
      </c>
      <c r="Q96">
        <v>7</v>
      </c>
      <c r="R96">
        <v>8</v>
      </c>
      <c r="S96">
        <v>20</v>
      </c>
      <c r="T96">
        <v>16</v>
      </c>
      <c r="U96">
        <v>7</v>
      </c>
      <c r="V96">
        <v>1768614445154</v>
      </c>
    </row>
    <row r="97" spans="1:22" x14ac:dyDescent="0.25">
      <c r="A97" t="s">
        <v>207</v>
      </c>
      <c r="B97" t="s">
        <v>208</v>
      </c>
      <c r="C97">
        <v>1672682301000</v>
      </c>
      <c r="D97" t="str">
        <f t="shared" si="4"/>
        <v>1672682301.000</v>
      </c>
      <c r="E97" s="3">
        <f t="shared" si="5"/>
        <v>44928.748854166668</v>
      </c>
      <c r="F97" t="s">
        <v>405</v>
      </c>
      <c r="G97">
        <v>985</v>
      </c>
      <c r="H97">
        <v>39</v>
      </c>
      <c r="I97">
        <v>165</v>
      </c>
      <c r="J97">
        <v>190</v>
      </c>
      <c r="K97">
        <v>4131</v>
      </c>
      <c r="L97">
        <v>0.9</v>
      </c>
      <c r="M97">
        <v>523</v>
      </c>
      <c r="N97">
        <v>2867</v>
      </c>
      <c r="O97">
        <v>938</v>
      </c>
      <c r="P97">
        <v>57</v>
      </c>
      <c r="Q97">
        <v>2</v>
      </c>
      <c r="R97">
        <v>1</v>
      </c>
      <c r="S97">
        <v>15</v>
      </c>
      <c r="T97">
        <v>28</v>
      </c>
      <c r="U97">
        <v>11</v>
      </c>
      <c r="V97">
        <v>1768614445193</v>
      </c>
    </row>
    <row r="98" spans="1:22" x14ac:dyDescent="0.25">
      <c r="A98" t="s">
        <v>209</v>
      </c>
      <c r="B98" t="s">
        <v>210</v>
      </c>
      <c r="C98">
        <v>1672329470000</v>
      </c>
      <c r="D98" t="str">
        <f t="shared" ref="D98:D129" si="6">LEFT(C98,10) &amp; "." &amp; RIGHT(C98,3)</f>
        <v>1672329470.000</v>
      </c>
      <c r="E98" s="3">
        <f t="shared" ref="E98:E129" si="7">(((D98/60)/60)/24)+DATE(1970,1,1)</f>
        <v>44924.665162037039</v>
      </c>
      <c r="F98" t="s">
        <v>405</v>
      </c>
      <c r="G98">
        <v>841</v>
      </c>
      <c r="H98">
        <v>30</v>
      </c>
      <c r="I98">
        <v>151</v>
      </c>
      <c r="J98">
        <v>191</v>
      </c>
      <c r="K98">
        <v>4326</v>
      </c>
      <c r="L98">
        <v>2.74</v>
      </c>
      <c r="M98">
        <v>1489</v>
      </c>
      <c r="P98">
        <v>57</v>
      </c>
      <c r="Q98">
        <v>14</v>
      </c>
      <c r="R98">
        <v>3</v>
      </c>
      <c r="S98">
        <v>10</v>
      </c>
      <c r="T98">
        <v>8</v>
      </c>
      <c r="U98">
        <v>22</v>
      </c>
      <c r="V98">
        <v>1768614445225</v>
      </c>
    </row>
    <row r="99" spans="1:22" x14ac:dyDescent="0.25">
      <c r="A99" t="s">
        <v>211</v>
      </c>
      <c r="B99" t="s">
        <v>212</v>
      </c>
      <c r="C99">
        <v>1671119873000</v>
      </c>
      <c r="D99" t="str">
        <f t="shared" si="6"/>
        <v>1671119873.000</v>
      </c>
      <c r="E99" s="3">
        <f t="shared" si="7"/>
        <v>44910.665196759262</v>
      </c>
      <c r="F99" t="s">
        <v>405</v>
      </c>
      <c r="G99">
        <v>875</v>
      </c>
      <c r="H99">
        <v>26</v>
      </c>
      <c r="I99">
        <v>158</v>
      </c>
      <c r="J99">
        <v>189</v>
      </c>
      <c r="K99">
        <v>3754</v>
      </c>
      <c r="L99">
        <v>2.0299999999999998</v>
      </c>
      <c r="M99">
        <v>1225</v>
      </c>
      <c r="P99">
        <v>56</v>
      </c>
      <c r="Q99">
        <v>2</v>
      </c>
      <c r="R99">
        <v>5</v>
      </c>
      <c r="S99">
        <v>23</v>
      </c>
      <c r="T99">
        <v>22</v>
      </c>
      <c r="U99">
        <v>4</v>
      </c>
      <c r="V99">
        <v>1768614445263</v>
      </c>
    </row>
    <row r="100" spans="1:22" x14ac:dyDescent="0.25">
      <c r="A100" t="s">
        <v>213</v>
      </c>
      <c r="B100" t="s">
        <v>214</v>
      </c>
      <c r="C100">
        <v>1671040676000</v>
      </c>
      <c r="D100" t="str">
        <f t="shared" si="6"/>
        <v>1671040676.000</v>
      </c>
      <c r="E100" s="3">
        <f t="shared" si="7"/>
        <v>44909.748564814814</v>
      </c>
      <c r="F100" t="s">
        <v>405</v>
      </c>
      <c r="G100">
        <v>891</v>
      </c>
      <c r="H100">
        <v>29</v>
      </c>
      <c r="I100">
        <v>159</v>
      </c>
      <c r="J100">
        <v>188</v>
      </c>
      <c r="K100">
        <v>4027</v>
      </c>
      <c r="L100">
        <v>3.02</v>
      </c>
      <c r="M100">
        <v>1704</v>
      </c>
      <c r="P100">
        <v>56</v>
      </c>
      <c r="Q100">
        <v>2</v>
      </c>
      <c r="R100">
        <v>5</v>
      </c>
      <c r="S100">
        <v>20</v>
      </c>
      <c r="T100">
        <v>22</v>
      </c>
      <c r="U100">
        <v>7</v>
      </c>
      <c r="V100">
        <v>1768614445292</v>
      </c>
    </row>
    <row r="101" spans="1:22" x14ac:dyDescent="0.25">
      <c r="A101" t="s">
        <v>215</v>
      </c>
      <c r="B101" t="s">
        <v>216</v>
      </c>
      <c r="C101">
        <v>1670867874000</v>
      </c>
      <c r="D101" t="str">
        <f t="shared" si="6"/>
        <v>1670867874.000</v>
      </c>
      <c r="E101" s="3">
        <f t="shared" si="7"/>
        <v>44907.74854166666</v>
      </c>
      <c r="F101" t="s">
        <v>405</v>
      </c>
      <c r="G101">
        <v>916</v>
      </c>
      <c r="H101">
        <v>41</v>
      </c>
      <c r="I101">
        <v>167</v>
      </c>
      <c r="J101">
        <v>187</v>
      </c>
      <c r="K101">
        <v>4630</v>
      </c>
      <c r="L101">
        <v>2.12</v>
      </c>
      <c r="M101">
        <v>1082</v>
      </c>
      <c r="N101">
        <v>2776</v>
      </c>
      <c r="O101">
        <v>848</v>
      </c>
      <c r="P101">
        <v>53</v>
      </c>
      <c r="Q101">
        <v>1</v>
      </c>
      <c r="R101">
        <v>2</v>
      </c>
      <c r="S101">
        <v>9</v>
      </c>
      <c r="T101">
        <v>32</v>
      </c>
      <c r="U101">
        <v>9</v>
      </c>
      <c r="V101">
        <v>1768614445323</v>
      </c>
    </row>
    <row r="102" spans="1:22" x14ac:dyDescent="0.25">
      <c r="A102" t="s">
        <v>217</v>
      </c>
      <c r="B102" s="1" t="s">
        <v>218</v>
      </c>
      <c r="C102">
        <v>1670263084000</v>
      </c>
      <c r="D102" t="str">
        <f t="shared" si="6"/>
        <v>1670263084.000</v>
      </c>
      <c r="E102" s="3">
        <f t="shared" si="7"/>
        <v>44900.748657407406</v>
      </c>
      <c r="F102" t="s">
        <v>405</v>
      </c>
      <c r="G102">
        <v>824</v>
      </c>
      <c r="H102">
        <v>29</v>
      </c>
      <c r="I102">
        <v>166</v>
      </c>
      <c r="J102">
        <v>188</v>
      </c>
      <c r="K102">
        <v>4171</v>
      </c>
      <c r="L102">
        <v>2.89</v>
      </c>
      <c r="M102">
        <v>1586</v>
      </c>
      <c r="N102">
        <v>481</v>
      </c>
      <c r="O102">
        <v>246</v>
      </c>
      <c r="P102">
        <v>47</v>
      </c>
      <c r="Q102">
        <v>1</v>
      </c>
      <c r="R102">
        <v>1</v>
      </c>
      <c r="S102">
        <v>16</v>
      </c>
      <c r="T102">
        <v>15</v>
      </c>
      <c r="U102">
        <v>14</v>
      </c>
      <c r="V102">
        <v>1768614445356</v>
      </c>
    </row>
    <row r="103" spans="1:22" x14ac:dyDescent="0.25">
      <c r="A103" t="s">
        <v>219</v>
      </c>
      <c r="B103" t="s">
        <v>220</v>
      </c>
      <c r="C103">
        <v>1669933366000</v>
      </c>
      <c r="D103" t="str">
        <f t="shared" si="6"/>
        <v>1669933366.000</v>
      </c>
      <c r="E103" s="3">
        <f t="shared" si="7"/>
        <v>44896.932476851856</v>
      </c>
      <c r="F103" t="s">
        <v>405</v>
      </c>
      <c r="G103">
        <v>742</v>
      </c>
      <c r="H103">
        <v>15</v>
      </c>
      <c r="I103">
        <v>145</v>
      </c>
      <c r="J103">
        <v>183</v>
      </c>
      <c r="K103">
        <v>3103</v>
      </c>
      <c r="L103">
        <v>1.77</v>
      </c>
      <c r="M103">
        <v>998</v>
      </c>
      <c r="N103">
        <v>1456</v>
      </c>
      <c r="O103">
        <v>417</v>
      </c>
      <c r="P103">
        <v>54</v>
      </c>
      <c r="Q103">
        <v>5</v>
      </c>
      <c r="R103">
        <v>17</v>
      </c>
      <c r="S103">
        <v>17</v>
      </c>
      <c r="T103">
        <v>14</v>
      </c>
      <c r="U103">
        <v>1</v>
      </c>
      <c r="V103">
        <v>1768614445390</v>
      </c>
    </row>
    <row r="104" spans="1:22" x14ac:dyDescent="0.25">
      <c r="A104" t="s">
        <v>221</v>
      </c>
      <c r="B104" t="s">
        <v>222</v>
      </c>
      <c r="C104">
        <v>1669760567000</v>
      </c>
      <c r="D104" t="str">
        <f t="shared" si="6"/>
        <v>1669760567.000</v>
      </c>
      <c r="E104" s="3">
        <f t="shared" si="7"/>
        <v>44894.932488425926</v>
      </c>
      <c r="F104" t="s">
        <v>405</v>
      </c>
      <c r="G104">
        <v>853</v>
      </c>
      <c r="H104">
        <v>25</v>
      </c>
      <c r="I104">
        <v>159</v>
      </c>
      <c r="J104">
        <v>189</v>
      </c>
      <c r="K104">
        <v>3966</v>
      </c>
      <c r="L104">
        <v>2.54</v>
      </c>
      <c r="M104">
        <v>1627</v>
      </c>
      <c r="N104">
        <v>612</v>
      </c>
      <c r="O104">
        <v>129</v>
      </c>
      <c r="P104">
        <v>54</v>
      </c>
      <c r="Q104">
        <v>1</v>
      </c>
      <c r="R104">
        <v>5</v>
      </c>
      <c r="S104">
        <v>23</v>
      </c>
      <c r="T104">
        <v>19</v>
      </c>
      <c r="U104">
        <v>6</v>
      </c>
      <c r="V104">
        <v>1768614445432</v>
      </c>
    </row>
    <row r="105" spans="1:22" x14ac:dyDescent="0.25">
      <c r="A105" t="s">
        <v>223</v>
      </c>
      <c r="B105" t="s">
        <v>224</v>
      </c>
      <c r="C105">
        <v>1668550667000</v>
      </c>
      <c r="D105" t="str">
        <f t="shared" si="6"/>
        <v>1668550667.000</v>
      </c>
      <c r="E105" s="3">
        <f t="shared" si="7"/>
        <v>44880.929016203707</v>
      </c>
      <c r="F105" t="s">
        <v>405</v>
      </c>
      <c r="G105">
        <v>869</v>
      </c>
      <c r="H105">
        <v>31</v>
      </c>
      <c r="I105">
        <v>158</v>
      </c>
      <c r="J105">
        <v>195</v>
      </c>
      <c r="K105">
        <v>4124</v>
      </c>
      <c r="L105">
        <v>2.71</v>
      </c>
      <c r="M105">
        <v>1457</v>
      </c>
      <c r="N105">
        <v>1398</v>
      </c>
      <c r="O105">
        <v>512</v>
      </c>
      <c r="P105">
        <v>54</v>
      </c>
      <c r="Q105">
        <v>4</v>
      </c>
      <c r="R105">
        <v>4</v>
      </c>
      <c r="S105">
        <v>15</v>
      </c>
      <c r="T105">
        <v>12</v>
      </c>
      <c r="U105">
        <v>19</v>
      </c>
      <c r="V105">
        <v>1768614445473</v>
      </c>
    </row>
    <row r="106" spans="1:22" x14ac:dyDescent="0.25">
      <c r="A106" t="s">
        <v>225</v>
      </c>
      <c r="B106" t="s">
        <v>226</v>
      </c>
      <c r="C106">
        <v>1668118971000</v>
      </c>
      <c r="D106" t="str">
        <f t="shared" si="6"/>
        <v>1668118971.000</v>
      </c>
      <c r="E106" s="3">
        <f t="shared" si="7"/>
        <v>44875.932534722218</v>
      </c>
      <c r="F106" t="s">
        <v>405</v>
      </c>
      <c r="G106">
        <v>719</v>
      </c>
      <c r="H106">
        <v>19</v>
      </c>
      <c r="I106">
        <v>148</v>
      </c>
      <c r="J106">
        <v>186</v>
      </c>
      <c r="K106">
        <v>2588</v>
      </c>
      <c r="L106">
        <v>1.53</v>
      </c>
      <c r="M106">
        <v>958</v>
      </c>
      <c r="N106">
        <v>680</v>
      </c>
      <c r="O106">
        <v>169</v>
      </c>
      <c r="P106">
        <v>57</v>
      </c>
      <c r="Q106">
        <v>13</v>
      </c>
      <c r="R106">
        <v>2</v>
      </c>
      <c r="S106">
        <v>23</v>
      </c>
      <c r="T106">
        <v>14</v>
      </c>
      <c r="U106">
        <v>5</v>
      </c>
      <c r="V106">
        <v>1768614445503</v>
      </c>
    </row>
    <row r="107" spans="1:22" x14ac:dyDescent="0.25">
      <c r="A107" t="s">
        <v>227</v>
      </c>
      <c r="B107" t="s">
        <v>228</v>
      </c>
      <c r="C107">
        <v>1667581079000</v>
      </c>
      <c r="D107" t="str">
        <f t="shared" si="6"/>
        <v>1667581079.000</v>
      </c>
      <c r="E107" s="3">
        <f t="shared" si="7"/>
        <v>44869.706932870366</v>
      </c>
      <c r="F107" t="s">
        <v>405</v>
      </c>
      <c r="G107">
        <v>854</v>
      </c>
      <c r="H107">
        <v>23</v>
      </c>
      <c r="I107">
        <v>155</v>
      </c>
      <c r="J107">
        <v>190</v>
      </c>
      <c r="K107">
        <v>3996</v>
      </c>
      <c r="L107">
        <v>2.63</v>
      </c>
      <c r="M107">
        <v>1296</v>
      </c>
      <c r="P107">
        <v>56</v>
      </c>
      <c r="Q107">
        <v>2</v>
      </c>
      <c r="R107">
        <v>5</v>
      </c>
      <c r="S107">
        <v>26</v>
      </c>
      <c r="T107">
        <v>11</v>
      </c>
      <c r="U107">
        <v>12</v>
      </c>
      <c r="V107">
        <v>1768614445529</v>
      </c>
    </row>
    <row r="108" spans="1:22" x14ac:dyDescent="0.25">
      <c r="A108" t="s">
        <v>229</v>
      </c>
      <c r="B108" t="s">
        <v>230</v>
      </c>
      <c r="C108">
        <v>1666371543000</v>
      </c>
      <c r="D108" t="str">
        <f t="shared" si="6"/>
        <v>1666371543.000</v>
      </c>
      <c r="E108" s="3">
        <f t="shared" si="7"/>
        <v>44855.707673611112</v>
      </c>
      <c r="F108" t="s">
        <v>405</v>
      </c>
      <c r="G108">
        <v>932</v>
      </c>
      <c r="H108">
        <v>37</v>
      </c>
      <c r="I108">
        <v>162</v>
      </c>
      <c r="J108">
        <v>191</v>
      </c>
      <c r="K108">
        <v>4288</v>
      </c>
      <c r="L108">
        <v>2.83</v>
      </c>
      <c r="M108">
        <v>1465</v>
      </c>
      <c r="N108">
        <v>1350</v>
      </c>
      <c r="O108">
        <v>570</v>
      </c>
      <c r="P108">
        <v>55</v>
      </c>
      <c r="Q108">
        <v>2</v>
      </c>
      <c r="R108">
        <v>3</v>
      </c>
      <c r="S108">
        <v>13</v>
      </c>
      <c r="T108">
        <v>16</v>
      </c>
      <c r="U108">
        <v>21</v>
      </c>
      <c r="V108">
        <v>1768614445564</v>
      </c>
    </row>
    <row r="109" spans="1:22" x14ac:dyDescent="0.25">
      <c r="A109" t="s">
        <v>231</v>
      </c>
      <c r="B109" t="s">
        <v>232</v>
      </c>
      <c r="C109">
        <v>1665695597000</v>
      </c>
      <c r="D109" t="str">
        <f t="shared" si="6"/>
        <v>1665695597.000</v>
      </c>
      <c r="E109" s="3">
        <f t="shared" si="7"/>
        <v>44847.884224537032</v>
      </c>
      <c r="F109" t="s">
        <v>404</v>
      </c>
      <c r="G109">
        <v>902</v>
      </c>
      <c r="H109">
        <v>35</v>
      </c>
      <c r="I109">
        <v>155</v>
      </c>
      <c r="J109">
        <v>189</v>
      </c>
      <c r="K109">
        <v>3297</v>
      </c>
      <c r="L109">
        <v>1.48</v>
      </c>
      <c r="M109">
        <v>837</v>
      </c>
      <c r="N109">
        <v>3151</v>
      </c>
      <c r="O109">
        <v>853</v>
      </c>
      <c r="P109">
        <v>59</v>
      </c>
      <c r="Q109">
        <v>8</v>
      </c>
      <c r="R109">
        <v>3</v>
      </c>
      <c r="S109">
        <v>13</v>
      </c>
      <c r="T109">
        <v>22</v>
      </c>
      <c r="U109">
        <v>13</v>
      </c>
      <c r="V109">
        <v>1768614445601</v>
      </c>
    </row>
    <row r="110" spans="1:22" x14ac:dyDescent="0.25">
      <c r="A110" t="s">
        <v>233</v>
      </c>
      <c r="B110" t="s">
        <v>234</v>
      </c>
      <c r="C110">
        <v>1665075603000</v>
      </c>
      <c r="D110" t="str">
        <f t="shared" si="6"/>
        <v>1665075603.000</v>
      </c>
      <c r="E110" s="3">
        <f t="shared" si="7"/>
        <v>44840.708368055552</v>
      </c>
      <c r="F110" t="s">
        <v>405</v>
      </c>
      <c r="G110">
        <v>793</v>
      </c>
      <c r="H110">
        <v>16</v>
      </c>
      <c r="I110">
        <v>140</v>
      </c>
      <c r="J110">
        <v>182</v>
      </c>
      <c r="K110">
        <v>2909</v>
      </c>
      <c r="L110">
        <v>1.49</v>
      </c>
      <c r="M110">
        <v>939</v>
      </c>
      <c r="N110">
        <v>2403</v>
      </c>
      <c r="O110">
        <v>930</v>
      </c>
      <c r="P110">
        <v>60</v>
      </c>
      <c r="Q110">
        <v>9</v>
      </c>
      <c r="R110">
        <v>10</v>
      </c>
      <c r="S110">
        <v>25</v>
      </c>
      <c r="T110">
        <v>13</v>
      </c>
      <c r="U110">
        <v>3</v>
      </c>
      <c r="V110">
        <v>1768614445646</v>
      </c>
    </row>
    <row r="111" spans="1:22" x14ac:dyDescent="0.25">
      <c r="A111" t="s">
        <v>235</v>
      </c>
      <c r="B111" t="s">
        <v>236</v>
      </c>
      <c r="C111">
        <v>1664404073000</v>
      </c>
      <c r="D111" t="str">
        <f t="shared" si="6"/>
        <v>1664404073.000</v>
      </c>
      <c r="E111" s="3">
        <f t="shared" si="7"/>
        <v>44832.936030092591</v>
      </c>
      <c r="F111" t="s">
        <v>404</v>
      </c>
      <c r="G111">
        <v>775</v>
      </c>
      <c r="H111">
        <v>15</v>
      </c>
      <c r="I111">
        <v>146</v>
      </c>
      <c r="J111">
        <v>179</v>
      </c>
      <c r="K111">
        <v>3960</v>
      </c>
      <c r="L111">
        <v>1.87</v>
      </c>
      <c r="M111">
        <v>1078</v>
      </c>
      <c r="P111">
        <v>55</v>
      </c>
      <c r="Q111">
        <v>4</v>
      </c>
      <c r="R111">
        <v>7</v>
      </c>
      <c r="S111">
        <v>29</v>
      </c>
      <c r="T111">
        <v>13</v>
      </c>
      <c r="U111">
        <v>2</v>
      </c>
      <c r="V111">
        <v>1768614445677</v>
      </c>
    </row>
    <row r="112" spans="1:22" x14ac:dyDescent="0.25">
      <c r="A112" t="s">
        <v>237</v>
      </c>
      <c r="B112" t="s">
        <v>238</v>
      </c>
      <c r="C112">
        <v>1664231409000</v>
      </c>
      <c r="D112" t="str">
        <f t="shared" si="6"/>
        <v>1664231409.000</v>
      </c>
      <c r="E112" s="3">
        <f t="shared" si="7"/>
        <v>44830.937604166669</v>
      </c>
      <c r="F112" t="s">
        <v>405</v>
      </c>
      <c r="G112">
        <v>799</v>
      </c>
      <c r="H112">
        <v>15</v>
      </c>
      <c r="I112">
        <v>142</v>
      </c>
      <c r="J112">
        <v>185</v>
      </c>
      <c r="K112">
        <v>2982</v>
      </c>
      <c r="L112">
        <v>2.0699999999999998</v>
      </c>
      <c r="M112">
        <v>1007</v>
      </c>
      <c r="P112">
        <v>58</v>
      </c>
      <c r="Q112">
        <v>7</v>
      </c>
      <c r="R112">
        <v>11</v>
      </c>
      <c r="S112">
        <v>25</v>
      </c>
      <c r="T112">
        <v>7</v>
      </c>
      <c r="U112">
        <v>8</v>
      </c>
      <c r="V112">
        <v>1768614445701</v>
      </c>
    </row>
    <row r="113" spans="1:22" x14ac:dyDescent="0.25">
      <c r="A113" t="s">
        <v>239</v>
      </c>
      <c r="B113" t="s">
        <v>240</v>
      </c>
      <c r="C113">
        <v>1663799319000</v>
      </c>
      <c r="D113" t="str">
        <f t="shared" si="6"/>
        <v>1663799319.000</v>
      </c>
      <c r="E113" s="3">
        <f t="shared" si="7"/>
        <v>44825.936562499999</v>
      </c>
      <c r="F113" t="s">
        <v>405</v>
      </c>
      <c r="G113">
        <v>799</v>
      </c>
      <c r="H113">
        <v>20</v>
      </c>
      <c r="I113">
        <v>143</v>
      </c>
      <c r="J113">
        <v>185</v>
      </c>
      <c r="K113">
        <v>3519</v>
      </c>
      <c r="L113">
        <v>2</v>
      </c>
      <c r="M113">
        <v>1229</v>
      </c>
      <c r="P113">
        <v>58</v>
      </c>
      <c r="Q113">
        <v>9</v>
      </c>
      <c r="R113">
        <v>10</v>
      </c>
      <c r="S113">
        <v>19</v>
      </c>
      <c r="T113">
        <v>11</v>
      </c>
      <c r="U113">
        <v>9</v>
      </c>
      <c r="V113">
        <v>1768614445725</v>
      </c>
    </row>
    <row r="114" spans="1:22" x14ac:dyDescent="0.25">
      <c r="A114" t="s">
        <v>241</v>
      </c>
      <c r="B114" t="s">
        <v>242</v>
      </c>
      <c r="C114">
        <v>1663626481000</v>
      </c>
      <c r="D114" t="str">
        <f t="shared" si="6"/>
        <v>1663626481.000</v>
      </c>
      <c r="E114" s="3">
        <f t="shared" si="7"/>
        <v>44823.936122685183</v>
      </c>
      <c r="F114" t="s">
        <v>405</v>
      </c>
      <c r="G114">
        <v>800</v>
      </c>
      <c r="H114">
        <v>22</v>
      </c>
      <c r="I114">
        <v>151</v>
      </c>
      <c r="J114">
        <v>185</v>
      </c>
      <c r="K114">
        <v>3102</v>
      </c>
      <c r="L114">
        <v>2.08</v>
      </c>
      <c r="M114">
        <v>1130</v>
      </c>
      <c r="P114">
        <v>54</v>
      </c>
      <c r="Q114">
        <v>2</v>
      </c>
      <c r="R114">
        <v>9</v>
      </c>
      <c r="S114">
        <v>21</v>
      </c>
      <c r="T114">
        <v>14</v>
      </c>
      <c r="U114">
        <v>8</v>
      </c>
      <c r="V114">
        <v>1768614445745</v>
      </c>
    </row>
    <row r="115" spans="1:22" x14ac:dyDescent="0.25">
      <c r="A115" t="s">
        <v>243</v>
      </c>
      <c r="B115" t="s">
        <v>244</v>
      </c>
      <c r="C115">
        <v>1663194465000</v>
      </c>
      <c r="D115" t="str">
        <f t="shared" si="6"/>
        <v>1663194465.000</v>
      </c>
      <c r="E115" s="3">
        <f t="shared" si="7"/>
        <v>44818.935937500006</v>
      </c>
      <c r="F115" t="s">
        <v>405</v>
      </c>
      <c r="G115">
        <v>308</v>
      </c>
      <c r="H115">
        <v>4</v>
      </c>
      <c r="I115">
        <v>143</v>
      </c>
      <c r="J115">
        <v>177</v>
      </c>
      <c r="K115">
        <v>660</v>
      </c>
      <c r="L115">
        <v>2.79</v>
      </c>
      <c r="M115">
        <v>1406</v>
      </c>
      <c r="P115">
        <v>29</v>
      </c>
      <c r="Q115">
        <v>8</v>
      </c>
      <c r="R115">
        <v>2</v>
      </c>
      <c r="S115">
        <v>15</v>
      </c>
      <c r="T115">
        <v>3</v>
      </c>
      <c r="U115">
        <v>1</v>
      </c>
      <c r="V115">
        <v>1768614445767</v>
      </c>
    </row>
    <row r="116" spans="1:22" x14ac:dyDescent="0.25">
      <c r="A116" t="s">
        <v>245</v>
      </c>
      <c r="B116" t="s">
        <v>246</v>
      </c>
      <c r="C116">
        <v>1663021696000</v>
      </c>
      <c r="D116" t="str">
        <f t="shared" si="6"/>
        <v>1663021696.000</v>
      </c>
      <c r="E116" s="3">
        <f t="shared" si="7"/>
        <v>44816.936296296291</v>
      </c>
      <c r="F116" t="s">
        <v>405</v>
      </c>
      <c r="G116">
        <v>765</v>
      </c>
      <c r="H116">
        <v>19</v>
      </c>
      <c r="I116">
        <v>141</v>
      </c>
      <c r="J116">
        <v>186</v>
      </c>
      <c r="K116">
        <v>4406</v>
      </c>
      <c r="L116">
        <v>2.62</v>
      </c>
      <c r="M116">
        <v>1514</v>
      </c>
      <c r="P116">
        <v>58</v>
      </c>
      <c r="Q116">
        <v>9</v>
      </c>
      <c r="R116">
        <v>13</v>
      </c>
      <c r="S116">
        <v>17</v>
      </c>
      <c r="T116">
        <v>14</v>
      </c>
      <c r="U116">
        <v>5</v>
      </c>
      <c r="V116">
        <v>1768614445800</v>
      </c>
    </row>
    <row r="117" spans="1:22" x14ac:dyDescent="0.25">
      <c r="A117" t="s">
        <v>247</v>
      </c>
      <c r="B117" t="s">
        <v>248</v>
      </c>
      <c r="C117">
        <v>1661812212000</v>
      </c>
      <c r="D117" t="str">
        <f t="shared" si="6"/>
        <v>1661812212.000</v>
      </c>
      <c r="E117" s="3">
        <f t="shared" si="7"/>
        <v>44802.937638888892</v>
      </c>
      <c r="F117" t="s">
        <v>405</v>
      </c>
      <c r="G117">
        <v>845</v>
      </c>
      <c r="H117">
        <v>23</v>
      </c>
      <c r="I117">
        <v>150</v>
      </c>
      <c r="J117">
        <v>180</v>
      </c>
      <c r="K117">
        <v>4591</v>
      </c>
      <c r="L117">
        <v>2.77</v>
      </c>
      <c r="M117">
        <v>1558</v>
      </c>
      <c r="P117">
        <v>58</v>
      </c>
      <c r="Q117">
        <v>5</v>
      </c>
      <c r="R117">
        <v>8</v>
      </c>
      <c r="S117">
        <v>22</v>
      </c>
      <c r="T117">
        <v>14</v>
      </c>
      <c r="U117">
        <v>9</v>
      </c>
      <c r="V117">
        <v>1768614445830</v>
      </c>
    </row>
    <row r="118" spans="1:22" x14ac:dyDescent="0.25">
      <c r="A118" t="s">
        <v>249</v>
      </c>
      <c r="B118" t="s">
        <v>250</v>
      </c>
      <c r="C118">
        <v>1661293568000</v>
      </c>
      <c r="D118" t="str">
        <f t="shared" si="6"/>
        <v>1661293568.000</v>
      </c>
      <c r="E118" s="3">
        <f t="shared" si="7"/>
        <v>44796.934814814813</v>
      </c>
      <c r="F118" t="s">
        <v>405</v>
      </c>
      <c r="G118">
        <v>729</v>
      </c>
      <c r="H118">
        <v>17</v>
      </c>
      <c r="I118">
        <v>140</v>
      </c>
      <c r="J118">
        <v>185</v>
      </c>
      <c r="K118">
        <v>3370</v>
      </c>
      <c r="L118">
        <v>1.86</v>
      </c>
      <c r="M118">
        <v>1027</v>
      </c>
      <c r="P118">
        <v>54</v>
      </c>
      <c r="Q118">
        <v>10</v>
      </c>
      <c r="R118">
        <v>8</v>
      </c>
      <c r="S118">
        <v>19</v>
      </c>
      <c r="T118">
        <v>11</v>
      </c>
      <c r="U118">
        <v>6</v>
      </c>
      <c r="V118">
        <v>1768614445856</v>
      </c>
    </row>
    <row r="119" spans="1:22" x14ac:dyDescent="0.25">
      <c r="A119" t="s">
        <v>251</v>
      </c>
      <c r="B119" t="s">
        <v>252</v>
      </c>
      <c r="C119">
        <v>1661207349000</v>
      </c>
      <c r="D119" t="str">
        <f t="shared" si="6"/>
        <v>1661207349.000</v>
      </c>
      <c r="E119" s="3">
        <f t="shared" si="7"/>
        <v>44795.936909722222</v>
      </c>
      <c r="F119" t="s">
        <v>405</v>
      </c>
      <c r="G119">
        <v>881</v>
      </c>
      <c r="H119">
        <v>27</v>
      </c>
      <c r="I119">
        <v>157</v>
      </c>
      <c r="J119">
        <v>189</v>
      </c>
      <c r="K119">
        <v>4188</v>
      </c>
      <c r="L119">
        <v>3.18</v>
      </c>
      <c r="M119">
        <v>1685</v>
      </c>
      <c r="P119">
        <v>55</v>
      </c>
      <c r="Q119">
        <v>1</v>
      </c>
      <c r="R119">
        <v>6</v>
      </c>
      <c r="S119">
        <v>21</v>
      </c>
      <c r="T119">
        <v>10</v>
      </c>
      <c r="U119">
        <v>17</v>
      </c>
      <c r="V119">
        <v>1768614445876</v>
      </c>
    </row>
    <row r="120" spans="1:22" x14ac:dyDescent="0.25">
      <c r="A120" t="s">
        <v>253</v>
      </c>
      <c r="B120" t="s">
        <v>254</v>
      </c>
      <c r="C120">
        <v>1660775430000</v>
      </c>
      <c r="D120" t="str">
        <f t="shared" si="6"/>
        <v>1660775430.000</v>
      </c>
      <c r="E120" s="3">
        <f t="shared" si="7"/>
        <v>44790.937847222223</v>
      </c>
      <c r="F120" t="s">
        <v>405</v>
      </c>
      <c r="G120">
        <v>755</v>
      </c>
      <c r="H120">
        <v>27</v>
      </c>
      <c r="I120">
        <v>141</v>
      </c>
      <c r="J120">
        <v>190</v>
      </c>
      <c r="K120">
        <v>4300</v>
      </c>
      <c r="L120">
        <v>2.78</v>
      </c>
      <c r="M120">
        <v>1565</v>
      </c>
      <c r="P120">
        <v>57</v>
      </c>
      <c r="Q120">
        <v>16</v>
      </c>
      <c r="R120">
        <v>5</v>
      </c>
      <c r="S120">
        <v>9</v>
      </c>
      <c r="T120">
        <v>11</v>
      </c>
      <c r="U120">
        <v>16</v>
      </c>
      <c r="V120">
        <v>1768614445895</v>
      </c>
    </row>
    <row r="121" spans="1:22" x14ac:dyDescent="0.25">
      <c r="A121" t="s">
        <v>255</v>
      </c>
      <c r="B121" t="s">
        <v>256</v>
      </c>
      <c r="C121">
        <v>1658870041000</v>
      </c>
      <c r="D121" t="str">
        <f t="shared" si="6"/>
        <v>1658870041.000</v>
      </c>
      <c r="E121" s="3">
        <f t="shared" si="7"/>
        <v>44768.884733796294</v>
      </c>
      <c r="F121" t="s">
        <v>405</v>
      </c>
      <c r="G121">
        <v>744</v>
      </c>
      <c r="H121">
        <v>22</v>
      </c>
      <c r="I121">
        <v>141</v>
      </c>
      <c r="J121">
        <v>185</v>
      </c>
      <c r="K121">
        <v>4263</v>
      </c>
      <c r="L121">
        <v>2.78</v>
      </c>
      <c r="M121">
        <v>1603</v>
      </c>
      <c r="P121">
        <v>55</v>
      </c>
      <c r="Q121">
        <v>12</v>
      </c>
      <c r="R121">
        <v>7</v>
      </c>
      <c r="S121">
        <v>14</v>
      </c>
      <c r="T121">
        <v>12</v>
      </c>
      <c r="U121">
        <v>10</v>
      </c>
      <c r="V121">
        <v>1768614445924</v>
      </c>
    </row>
    <row r="122" spans="1:22" x14ac:dyDescent="0.25">
      <c r="A122" t="s">
        <v>257</v>
      </c>
      <c r="B122" t="s">
        <v>258</v>
      </c>
      <c r="C122">
        <v>1658768418000</v>
      </c>
      <c r="D122" t="str">
        <f t="shared" si="6"/>
        <v>1658768418.000</v>
      </c>
      <c r="E122" s="3">
        <f t="shared" si="7"/>
        <v>44767.708541666667</v>
      </c>
      <c r="F122" t="s">
        <v>405</v>
      </c>
      <c r="G122">
        <v>866</v>
      </c>
      <c r="H122">
        <v>27</v>
      </c>
      <c r="I122">
        <v>153</v>
      </c>
      <c r="J122">
        <v>186</v>
      </c>
      <c r="K122">
        <v>4392</v>
      </c>
      <c r="L122">
        <v>3.08</v>
      </c>
      <c r="M122">
        <v>1704</v>
      </c>
      <c r="P122">
        <v>57</v>
      </c>
      <c r="Q122">
        <v>3</v>
      </c>
      <c r="R122">
        <v>8</v>
      </c>
      <c r="S122">
        <v>19</v>
      </c>
      <c r="T122">
        <v>17</v>
      </c>
      <c r="U122">
        <v>10</v>
      </c>
      <c r="V122">
        <v>1768614445952</v>
      </c>
    </row>
    <row r="123" spans="1:22" x14ac:dyDescent="0.25">
      <c r="A123" t="s">
        <v>259</v>
      </c>
      <c r="B123" t="s">
        <v>260</v>
      </c>
      <c r="C123">
        <v>1658524408000</v>
      </c>
      <c r="D123" t="str">
        <f t="shared" si="6"/>
        <v>1658524408.000</v>
      </c>
      <c r="E123" s="3">
        <f t="shared" si="7"/>
        <v>44764.884351851855</v>
      </c>
      <c r="F123" t="s">
        <v>405</v>
      </c>
      <c r="G123">
        <v>777</v>
      </c>
      <c r="H123">
        <v>27</v>
      </c>
      <c r="I123">
        <v>147</v>
      </c>
      <c r="J123">
        <v>186</v>
      </c>
      <c r="K123">
        <v>4425</v>
      </c>
      <c r="L123">
        <v>2.64</v>
      </c>
      <c r="M123">
        <v>1560</v>
      </c>
      <c r="P123">
        <v>55</v>
      </c>
      <c r="Q123">
        <v>12</v>
      </c>
      <c r="R123">
        <v>2</v>
      </c>
      <c r="S123">
        <v>14</v>
      </c>
      <c r="T123">
        <v>17</v>
      </c>
      <c r="U123">
        <v>10</v>
      </c>
      <c r="V123">
        <v>1768614445979</v>
      </c>
    </row>
    <row r="124" spans="1:22" x14ac:dyDescent="0.25">
      <c r="A124" t="s">
        <v>261</v>
      </c>
      <c r="B124" t="s">
        <v>262</v>
      </c>
      <c r="C124">
        <v>1658265218000</v>
      </c>
      <c r="D124" t="str">
        <f t="shared" si="6"/>
        <v>1658265218.000</v>
      </c>
      <c r="E124" s="3">
        <f t="shared" si="7"/>
        <v>44761.884467592594</v>
      </c>
      <c r="F124" t="s">
        <v>405</v>
      </c>
      <c r="G124">
        <v>850</v>
      </c>
      <c r="H124">
        <v>26</v>
      </c>
      <c r="I124">
        <v>152</v>
      </c>
      <c r="J124">
        <v>189</v>
      </c>
      <c r="K124">
        <v>3226</v>
      </c>
      <c r="L124">
        <v>1.75</v>
      </c>
      <c r="M124">
        <v>797</v>
      </c>
      <c r="P124">
        <v>56</v>
      </c>
      <c r="Q124">
        <v>5</v>
      </c>
      <c r="R124">
        <v>7</v>
      </c>
      <c r="S124">
        <v>18</v>
      </c>
      <c r="T124">
        <v>9</v>
      </c>
      <c r="U124">
        <v>17</v>
      </c>
      <c r="V124">
        <v>1768614446010</v>
      </c>
    </row>
    <row r="125" spans="1:22" x14ac:dyDescent="0.25">
      <c r="A125" t="s">
        <v>263</v>
      </c>
      <c r="B125" t="s">
        <v>264</v>
      </c>
      <c r="C125">
        <v>1657833262000</v>
      </c>
      <c r="D125" t="str">
        <f t="shared" si="6"/>
        <v>1657833262.000</v>
      </c>
      <c r="E125" s="3">
        <f t="shared" si="7"/>
        <v>44756.884976851856</v>
      </c>
      <c r="F125" t="s">
        <v>405</v>
      </c>
      <c r="G125">
        <v>867</v>
      </c>
      <c r="H125">
        <v>32</v>
      </c>
      <c r="I125">
        <v>158</v>
      </c>
      <c r="J125">
        <v>187</v>
      </c>
      <c r="K125">
        <v>3829</v>
      </c>
      <c r="L125">
        <v>2.66</v>
      </c>
      <c r="M125">
        <v>1579</v>
      </c>
      <c r="P125">
        <v>56</v>
      </c>
      <c r="Q125">
        <v>2</v>
      </c>
      <c r="R125">
        <v>7</v>
      </c>
      <c r="S125">
        <v>15</v>
      </c>
      <c r="T125">
        <v>17</v>
      </c>
      <c r="U125">
        <v>15</v>
      </c>
      <c r="V125">
        <v>1768614446037</v>
      </c>
    </row>
    <row r="126" spans="1:22" x14ac:dyDescent="0.25">
      <c r="A126" t="s">
        <v>265</v>
      </c>
      <c r="B126" t="s">
        <v>266</v>
      </c>
      <c r="C126">
        <v>1657578511000</v>
      </c>
      <c r="D126" t="str">
        <f t="shared" si="6"/>
        <v>1657578511.000</v>
      </c>
      <c r="E126" s="3">
        <f t="shared" si="7"/>
        <v>44753.936469907407</v>
      </c>
      <c r="F126" t="s">
        <v>405</v>
      </c>
      <c r="G126">
        <v>863</v>
      </c>
      <c r="H126">
        <v>25</v>
      </c>
      <c r="I126">
        <v>152</v>
      </c>
      <c r="J126">
        <v>186</v>
      </c>
      <c r="K126">
        <v>4751</v>
      </c>
      <c r="L126">
        <v>3.16</v>
      </c>
      <c r="M126">
        <v>1723</v>
      </c>
      <c r="P126">
        <v>57</v>
      </c>
      <c r="Q126">
        <v>3</v>
      </c>
      <c r="R126">
        <v>6</v>
      </c>
      <c r="S126">
        <v>23</v>
      </c>
      <c r="T126">
        <v>14</v>
      </c>
      <c r="U126">
        <v>11</v>
      </c>
      <c r="V126">
        <v>1768614446068</v>
      </c>
    </row>
    <row r="127" spans="1:22" x14ac:dyDescent="0.25">
      <c r="A127" t="s">
        <v>267</v>
      </c>
      <c r="B127" t="s">
        <v>268</v>
      </c>
      <c r="C127">
        <v>1657319334000</v>
      </c>
      <c r="D127" t="str">
        <f t="shared" si="6"/>
        <v>1657319334.000</v>
      </c>
      <c r="E127" s="3">
        <f t="shared" si="7"/>
        <v>44750.936736111107</v>
      </c>
      <c r="F127" t="s">
        <v>405</v>
      </c>
      <c r="G127">
        <v>857</v>
      </c>
      <c r="H127">
        <v>26</v>
      </c>
      <c r="I127">
        <v>151</v>
      </c>
      <c r="J127">
        <v>188</v>
      </c>
      <c r="K127">
        <v>3788</v>
      </c>
      <c r="L127">
        <v>2.4500000000000002</v>
      </c>
      <c r="M127">
        <v>1444</v>
      </c>
      <c r="P127">
        <v>58</v>
      </c>
      <c r="Q127">
        <v>6</v>
      </c>
      <c r="R127">
        <v>5</v>
      </c>
      <c r="S127">
        <v>21</v>
      </c>
      <c r="T127">
        <v>15</v>
      </c>
      <c r="U127">
        <v>11</v>
      </c>
      <c r="V127">
        <v>1768614446092</v>
      </c>
    </row>
    <row r="128" spans="1:22" x14ac:dyDescent="0.25">
      <c r="A128" t="s">
        <v>269</v>
      </c>
      <c r="B128" t="s">
        <v>270</v>
      </c>
      <c r="C128">
        <v>1656623595000</v>
      </c>
      <c r="D128" t="str">
        <f t="shared" si="6"/>
        <v>1656623595.000</v>
      </c>
      <c r="E128" s="3">
        <f t="shared" si="7"/>
        <v>44742.884201388893</v>
      </c>
      <c r="F128" t="s">
        <v>405</v>
      </c>
      <c r="G128">
        <v>777</v>
      </c>
      <c r="H128">
        <v>22</v>
      </c>
      <c r="I128">
        <v>148</v>
      </c>
      <c r="J128">
        <v>186</v>
      </c>
      <c r="K128">
        <v>4227</v>
      </c>
      <c r="L128">
        <v>2.82</v>
      </c>
      <c r="M128">
        <v>1474</v>
      </c>
      <c r="P128">
        <v>54</v>
      </c>
      <c r="Q128">
        <v>4</v>
      </c>
      <c r="R128">
        <v>9</v>
      </c>
      <c r="S128">
        <v>19</v>
      </c>
      <c r="T128">
        <v>14</v>
      </c>
      <c r="U128">
        <v>8</v>
      </c>
      <c r="V128">
        <v>1768614446121</v>
      </c>
    </row>
    <row r="129" spans="1:22" x14ac:dyDescent="0.25">
      <c r="A129" t="s">
        <v>271</v>
      </c>
      <c r="B129" t="s">
        <v>272</v>
      </c>
      <c r="C129">
        <v>1656105186000</v>
      </c>
      <c r="D129" t="str">
        <f t="shared" si="6"/>
        <v>1656105186.000</v>
      </c>
      <c r="E129" s="3">
        <f t="shared" si="7"/>
        <v>44736.884097222224</v>
      </c>
      <c r="F129" t="s">
        <v>405</v>
      </c>
      <c r="G129">
        <v>894</v>
      </c>
      <c r="H129">
        <v>34</v>
      </c>
      <c r="I129">
        <v>160</v>
      </c>
      <c r="J129">
        <v>188</v>
      </c>
      <c r="K129">
        <v>4309</v>
      </c>
      <c r="L129">
        <v>2.92</v>
      </c>
      <c r="M129">
        <v>1599</v>
      </c>
      <c r="P129">
        <v>56</v>
      </c>
      <c r="Q129">
        <v>1</v>
      </c>
      <c r="R129">
        <v>2</v>
      </c>
      <c r="S129">
        <v>19</v>
      </c>
      <c r="T129">
        <v>23</v>
      </c>
      <c r="U129">
        <v>11</v>
      </c>
      <c r="V129">
        <v>1768614446154</v>
      </c>
    </row>
    <row r="130" spans="1:22" x14ac:dyDescent="0.25">
      <c r="A130" t="s">
        <v>273</v>
      </c>
      <c r="B130" t="s">
        <v>274</v>
      </c>
      <c r="C130">
        <v>1655932429000</v>
      </c>
      <c r="D130" t="str">
        <f t="shared" ref="D130:D161" si="8">LEFT(C130,10) &amp; "." &amp; RIGHT(C130,3)</f>
        <v>1655932429.000</v>
      </c>
      <c r="E130" s="3">
        <f t="shared" ref="E130:E161" si="9">(((D130/60)/60)/24)+DATE(1970,1,1)</f>
        <v>44734.884594907402</v>
      </c>
      <c r="F130" t="s">
        <v>405</v>
      </c>
      <c r="G130">
        <v>694</v>
      </c>
      <c r="H130">
        <v>19</v>
      </c>
      <c r="I130">
        <v>137</v>
      </c>
      <c r="J130">
        <v>179</v>
      </c>
      <c r="K130">
        <v>3778</v>
      </c>
      <c r="L130">
        <v>2.71</v>
      </c>
      <c r="M130">
        <v>1572</v>
      </c>
      <c r="P130">
        <v>54</v>
      </c>
      <c r="Q130">
        <v>15</v>
      </c>
      <c r="R130">
        <v>10</v>
      </c>
      <c r="S130">
        <v>10</v>
      </c>
      <c r="T130">
        <v>15</v>
      </c>
      <c r="U130">
        <v>4</v>
      </c>
      <c r="V130">
        <v>1768614446181</v>
      </c>
    </row>
    <row r="131" spans="1:22" x14ac:dyDescent="0.25">
      <c r="A131" t="s">
        <v>275</v>
      </c>
      <c r="B131" t="s">
        <v>276</v>
      </c>
      <c r="C131">
        <v>1655418519000</v>
      </c>
      <c r="D131" t="str">
        <f t="shared" si="8"/>
        <v>1655418519.000</v>
      </c>
      <c r="E131" s="3">
        <f t="shared" si="9"/>
        <v>44728.936562499999</v>
      </c>
      <c r="F131" t="s">
        <v>405</v>
      </c>
      <c r="G131">
        <v>676</v>
      </c>
      <c r="H131">
        <v>15</v>
      </c>
      <c r="I131">
        <v>144</v>
      </c>
      <c r="J131">
        <v>182</v>
      </c>
      <c r="K131">
        <v>3749</v>
      </c>
      <c r="L131">
        <v>2.36</v>
      </c>
      <c r="M131">
        <v>1541</v>
      </c>
      <c r="P131">
        <v>49</v>
      </c>
      <c r="Q131">
        <v>5</v>
      </c>
      <c r="R131">
        <v>12</v>
      </c>
      <c r="S131">
        <v>17</v>
      </c>
      <c r="T131">
        <v>12</v>
      </c>
      <c r="U131">
        <v>3</v>
      </c>
      <c r="V131">
        <v>1768614446206</v>
      </c>
    </row>
    <row r="132" spans="1:22" x14ac:dyDescent="0.25">
      <c r="A132" t="s">
        <v>277</v>
      </c>
      <c r="B132" t="s">
        <v>278</v>
      </c>
      <c r="C132">
        <v>1654727451000</v>
      </c>
      <c r="D132" t="str">
        <f t="shared" si="8"/>
        <v>1654727451.000</v>
      </c>
      <c r="E132" s="3">
        <f t="shared" si="9"/>
        <v>44720.938090277778</v>
      </c>
      <c r="F132" t="s">
        <v>405</v>
      </c>
      <c r="G132">
        <v>869</v>
      </c>
      <c r="H132">
        <v>27</v>
      </c>
      <c r="I132">
        <v>153</v>
      </c>
      <c r="J132">
        <v>188</v>
      </c>
      <c r="K132">
        <v>4486</v>
      </c>
      <c r="L132">
        <v>3.3</v>
      </c>
      <c r="M132">
        <v>1543</v>
      </c>
      <c r="P132">
        <v>57</v>
      </c>
      <c r="Q132">
        <v>6</v>
      </c>
      <c r="R132">
        <v>8</v>
      </c>
      <c r="S132">
        <v>16</v>
      </c>
      <c r="T132">
        <v>7</v>
      </c>
      <c r="U132">
        <v>20</v>
      </c>
      <c r="V132">
        <v>1768614446227</v>
      </c>
    </row>
    <row r="133" spans="1:22" x14ac:dyDescent="0.25">
      <c r="A133" t="s">
        <v>279</v>
      </c>
      <c r="B133" t="s">
        <v>280</v>
      </c>
      <c r="C133">
        <v>1654554567000</v>
      </c>
      <c r="D133" t="str">
        <f t="shared" si="8"/>
        <v>1654554567.000</v>
      </c>
      <c r="E133" s="3">
        <f t="shared" si="9"/>
        <v>44718.937118055561</v>
      </c>
      <c r="F133" t="s">
        <v>406</v>
      </c>
      <c r="G133">
        <v>727</v>
      </c>
      <c r="H133">
        <v>14</v>
      </c>
      <c r="I133">
        <v>136</v>
      </c>
      <c r="J133">
        <v>179</v>
      </c>
      <c r="K133">
        <v>3103</v>
      </c>
      <c r="L133">
        <v>1.4</v>
      </c>
      <c r="M133">
        <v>711</v>
      </c>
      <c r="P133">
        <v>57</v>
      </c>
      <c r="Q133">
        <v>12</v>
      </c>
      <c r="R133">
        <v>10</v>
      </c>
      <c r="S133">
        <v>21</v>
      </c>
      <c r="T133">
        <v>13</v>
      </c>
      <c r="U133">
        <v>1</v>
      </c>
      <c r="V133">
        <v>1768614446247</v>
      </c>
    </row>
    <row r="134" spans="1:22" x14ac:dyDescent="0.25">
      <c r="A134" t="s">
        <v>281</v>
      </c>
      <c r="B134" t="s">
        <v>282</v>
      </c>
      <c r="C134">
        <v>1654123478000</v>
      </c>
      <c r="D134" t="str">
        <f t="shared" si="8"/>
        <v>1654123478.000</v>
      </c>
      <c r="E134" s="3">
        <f t="shared" si="9"/>
        <v>44713.947662037041</v>
      </c>
      <c r="F134" t="s">
        <v>405</v>
      </c>
      <c r="G134">
        <v>941</v>
      </c>
      <c r="H134">
        <v>27</v>
      </c>
      <c r="I134">
        <v>145</v>
      </c>
      <c r="J134">
        <v>188</v>
      </c>
      <c r="K134">
        <v>4353</v>
      </c>
      <c r="L134">
        <v>3.17</v>
      </c>
      <c r="M134">
        <v>1636</v>
      </c>
      <c r="P134">
        <v>69</v>
      </c>
      <c r="Q134">
        <v>9</v>
      </c>
      <c r="R134">
        <v>17</v>
      </c>
      <c r="S134">
        <v>16</v>
      </c>
      <c r="T134">
        <v>12</v>
      </c>
      <c r="U134">
        <v>15</v>
      </c>
      <c r="V134">
        <v>1768614446273</v>
      </c>
    </row>
    <row r="135" spans="1:22" x14ac:dyDescent="0.25">
      <c r="A135" t="s">
        <v>283</v>
      </c>
      <c r="B135" t="s">
        <v>284</v>
      </c>
      <c r="C135">
        <v>1653690545000</v>
      </c>
      <c r="D135" t="str">
        <f t="shared" si="8"/>
        <v>1653690545.000</v>
      </c>
      <c r="E135" s="3">
        <f t="shared" si="9"/>
        <v>44708.93686342593</v>
      </c>
      <c r="F135" t="s">
        <v>405</v>
      </c>
      <c r="G135">
        <v>813</v>
      </c>
      <c r="H135">
        <v>21</v>
      </c>
      <c r="I135">
        <v>150</v>
      </c>
      <c r="J135">
        <v>182</v>
      </c>
      <c r="K135">
        <v>2792</v>
      </c>
      <c r="L135">
        <v>1.81</v>
      </c>
      <c r="M135">
        <v>1093</v>
      </c>
      <c r="P135">
        <v>56</v>
      </c>
      <c r="Q135">
        <v>2</v>
      </c>
      <c r="R135">
        <v>8</v>
      </c>
      <c r="S135">
        <v>25</v>
      </c>
      <c r="T135">
        <v>15</v>
      </c>
      <c r="U135">
        <v>6</v>
      </c>
      <c r="V135">
        <v>1768614446303</v>
      </c>
    </row>
    <row r="136" spans="1:22" x14ac:dyDescent="0.25">
      <c r="A136" t="s">
        <v>285</v>
      </c>
      <c r="B136" t="s">
        <v>286</v>
      </c>
      <c r="C136">
        <v>1653517912000</v>
      </c>
      <c r="D136" t="str">
        <f t="shared" si="8"/>
        <v>1653517912.000</v>
      </c>
      <c r="E136" s="3">
        <f t="shared" si="9"/>
        <v>44706.938796296294</v>
      </c>
      <c r="F136" t="s">
        <v>405</v>
      </c>
      <c r="G136">
        <v>838</v>
      </c>
      <c r="H136">
        <v>28</v>
      </c>
      <c r="I136">
        <v>143</v>
      </c>
      <c r="J136">
        <v>188</v>
      </c>
      <c r="K136">
        <v>4499</v>
      </c>
      <c r="L136">
        <v>2.4500000000000002</v>
      </c>
      <c r="M136">
        <v>1552</v>
      </c>
      <c r="P136">
        <v>63</v>
      </c>
      <c r="Q136">
        <v>13</v>
      </c>
      <c r="R136">
        <v>3</v>
      </c>
      <c r="S136">
        <v>19</v>
      </c>
      <c r="T136">
        <v>17</v>
      </c>
      <c r="U136">
        <v>11</v>
      </c>
      <c r="V136">
        <v>1768614446331</v>
      </c>
    </row>
    <row r="137" spans="1:22" x14ac:dyDescent="0.25">
      <c r="A137" t="s">
        <v>287</v>
      </c>
      <c r="B137" t="s">
        <v>288</v>
      </c>
      <c r="C137">
        <v>1652308311000</v>
      </c>
      <c r="D137" t="str">
        <f t="shared" si="8"/>
        <v>1652308311.000</v>
      </c>
      <c r="E137" s="3">
        <f t="shared" si="9"/>
        <v>44692.938784722224</v>
      </c>
      <c r="F137" t="s">
        <v>405</v>
      </c>
      <c r="G137">
        <v>922</v>
      </c>
      <c r="H137">
        <v>28</v>
      </c>
      <c r="I137">
        <v>153</v>
      </c>
      <c r="J137">
        <v>183</v>
      </c>
      <c r="K137">
        <v>4954</v>
      </c>
      <c r="L137">
        <v>3.11</v>
      </c>
      <c r="M137">
        <v>1743</v>
      </c>
      <c r="P137">
        <v>61</v>
      </c>
      <c r="Q137">
        <v>3</v>
      </c>
      <c r="R137">
        <v>7</v>
      </c>
      <c r="S137">
        <v>23</v>
      </c>
      <c r="T137">
        <v>19</v>
      </c>
      <c r="U137">
        <v>9</v>
      </c>
      <c r="V137">
        <v>1768614446358</v>
      </c>
    </row>
    <row r="138" spans="1:22" x14ac:dyDescent="0.25">
      <c r="A138" t="s">
        <v>289</v>
      </c>
      <c r="B138" t="s">
        <v>290</v>
      </c>
      <c r="C138">
        <v>1652136261000</v>
      </c>
      <c r="D138" t="str">
        <f t="shared" si="8"/>
        <v>1652136261.000</v>
      </c>
      <c r="E138" s="3">
        <f t="shared" si="9"/>
        <v>44690.947465277779</v>
      </c>
      <c r="F138" t="s">
        <v>406</v>
      </c>
      <c r="G138">
        <v>826</v>
      </c>
      <c r="H138">
        <v>19</v>
      </c>
      <c r="I138">
        <v>143</v>
      </c>
      <c r="J138">
        <v>186</v>
      </c>
      <c r="K138">
        <v>3815</v>
      </c>
      <c r="L138">
        <v>1.49</v>
      </c>
      <c r="M138">
        <v>980</v>
      </c>
      <c r="P138">
        <v>61</v>
      </c>
      <c r="Q138">
        <v>7</v>
      </c>
      <c r="R138">
        <v>13</v>
      </c>
      <c r="S138">
        <v>22</v>
      </c>
      <c r="T138">
        <v>9</v>
      </c>
      <c r="U138">
        <v>10</v>
      </c>
      <c r="V138">
        <v>1768614446376</v>
      </c>
    </row>
    <row r="139" spans="1:22" x14ac:dyDescent="0.25">
      <c r="A139" t="s">
        <v>291</v>
      </c>
      <c r="B139" t="s">
        <v>292</v>
      </c>
      <c r="C139">
        <v>1651871856000</v>
      </c>
      <c r="D139" t="str">
        <f t="shared" si="8"/>
        <v>1651871856.000</v>
      </c>
      <c r="E139" s="3">
        <f t="shared" si="9"/>
        <v>44687.887222222227</v>
      </c>
      <c r="F139" t="s">
        <v>405</v>
      </c>
      <c r="G139">
        <v>848</v>
      </c>
      <c r="H139">
        <v>18</v>
      </c>
      <c r="I139">
        <v>147</v>
      </c>
      <c r="J139">
        <v>184</v>
      </c>
      <c r="K139">
        <v>2954</v>
      </c>
      <c r="L139">
        <v>1.9</v>
      </c>
      <c r="M139">
        <v>1162</v>
      </c>
      <c r="P139">
        <v>60</v>
      </c>
      <c r="Q139">
        <v>3</v>
      </c>
      <c r="R139">
        <v>11</v>
      </c>
      <c r="S139">
        <v>28</v>
      </c>
      <c r="T139">
        <v>15</v>
      </c>
      <c r="U139">
        <v>3</v>
      </c>
      <c r="V139">
        <v>1768614446396</v>
      </c>
    </row>
    <row r="140" spans="1:22" x14ac:dyDescent="0.25">
      <c r="A140" t="s">
        <v>293</v>
      </c>
      <c r="B140" t="s">
        <v>294</v>
      </c>
      <c r="C140">
        <v>1651703882000</v>
      </c>
      <c r="D140" t="str">
        <f t="shared" si="8"/>
        <v>1651703882.000</v>
      </c>
      <c r="E140" s="3">
        <f t="shared" si="9"/>
        <v>44685.943078703705</v>
      </c>
      <c r="F140" t="s">
        <v>405</v>
      </c>
      <c r="G140">
        <v>932</v>
      </c>
      <c r="H140">
        <v>27</v>
      </c>
      <c r="I140">
        <v>151</v>
      </c>
      <c r="J140">
        <v>188</v>
      </c>
      <c r="K140">
        <v>4399</v>
      </c>
      <c r="L140">
        <v>3.11</v>
      </c>
      <c r="M140">
        <v>1730</v>
      </c>
      <c r="P140">
        <v>63</v>
      </c>
      <c r="Q140">
        <v>3</v>
      </c>
      <c r="R140">
        <v>11</v>
      </c>
      <c r="S140">
        <v>22</v>
      </c>
      <c r="T140">
        <v>18</v>
      </c>
      <c r="U140">
        <v>9</v>
      </c>
      <c r="V140">
        <v>1768614446421</v>
      </c>
    </row>
    <row r="141" spans="1:22" x14ac:dyDescent="0.25">
      <c r="A141" t="s">
        <v>295</v>
      </c>
      <c r="B141" t="s">
        <v>296</v>
      </c>
      <c r="C141">
        <v>1651530754000</v>
      </c>
      <c r="D141" t="str">
        <f t="shared" si="8"/>
        <v>1651530754.000</v>
      </c>
      <c r="E141" s="3">
        <f t="shared" si="9"/>
        <v>44683.939282407402</v>
      </c>
      <c r="F141" t="s">
        <v>406</v>
      </c>
      <c r="G141">
        <v>801</v>
      </c>
      <c r="H141">
        <v>15</v>
      </c>
      <c r="I141">
        <v>141</v>
      </c>
      <c r="J141">
        <v>183</v>
      </c>
      <c r="K141">
        <v>3383</v>
      </c>
      <c r="L141">
        <v>1.65</v>
      </c>
      <c r="M141">
        <v>1007</v>
      </c>
      <c r="P141">
        <v>59</v>
      </c>
      <c r="Q141">
        <v>8</v>
      </c>
      <c r="R141">
        <v>9</v>
      </c>
      <c r="S141">
        <v>27</v>
      </c>
      <c r="T141">
        <v>11</v>
      </c>
      <c r="U141">
        <v>4</v>
      </c>
      <c r="V141">
        <v>1768614446453</v>
      </c>
    </row>
    <row r="142" spans="1:22" x14ac:dyDescent="0.25">
      <c r="A142" t="s">
        <v>297</v>
      </c>
      <c r="B142" t="s">
        <v>298</v>
      </c>
      <c r="C142">
        <v>1651266807000</v>
      </c>
      <c r="D142" t="str">
        <f t="shared" si="8"/>
        <v>1651266807.000</v>
      </c>
      <c r="E142" s="3">
        <f t="shared" si="9"/>
        <v>44680.884340277778</v>
      </c>
      <c r="F142" t="s">
        <v>405</v>
      </c>
      <c r="G142">
        <v>725</v>
      </c>
      <c r="H142">
        <v>23</v>
      </c>
      <c r="I142">
        <v>138</v>
      </c>
      <c r="J142">
        <v>187</v>
      </c>
      <c r="K142">
        <v>4733</v>
      </c>
      <c r="L142">
        <v>2.68</v>
      </c>
      <c r="M142">
        <v>1552</v>
      </c>
      <c r="P142">
        <v>56</v>
      </c>
      <c r="Q142">
        <v>16</v>
      </c>
      <c r="R142">
        <v>6</v>
      </c>
      <c r="S142">
        <v>11</v>
      </c>
      <c r="T142">
        <v>8</v>
      </c>
      <c r="U142">
        <v>15</v>
      </c>
      <c r="V142">
        <v>1768614446483</v>
      </c>
    </row>
    <row r="143" spans="1:22" x14ac:dyDescent="0.25">
      <c r="A143" t="s">
        <v>299</v>
      </c>
      <c r="B143" t="s">
        <v>300</v>
      </c>
      <c r="C143">
        <v>1650925790000</v>
      </c>
      <c r="D143" t="str">
        <f t="shared" si="8"/>
        <v>1650925790.000</v>
      </c>
      <c r="E143" s="3">
        <f t="shared" si="9"/>
        <v>44676.937384259261</v>
      </c>
      <c r="F143" t="s">
        <v>406</v>
      </c>
      <c r="G143">
        <v>839</v>
      </c>
      <c r="H143">
        <v>26</v>
      </c>
      <c r="I143">
        <v>149</v>
      </c>
      <c r="J143">
        <v>191</v>
      </c>
      <c r="K143">
        <v>3622</v>
      </c>
      <c r="L143">
        <v>1.84</v>
      </c>
      <c r="M143">
        <v>927</v>
      </c>
      <c r="P143">
        <v>58</v>
      </c>
      <c r="Q143">
        <v>8</v>
      </c>
      <c r="R143">
        <v>7</v>
      </c>
      <c r="S143">
        <v>17</v>
      </c>
      <c r="T143">
        <v>13</v>
      </c>
      <c r="U143">
        <v>13</v>
      </c>
      <c r="V143">
        <v>1768614446513</v>
      </c>
    </row>
    <row r="144" spans="1:22" x14ac:dyDescent="0.25">
      <c r="A144" t="s">
        <v>301</v>
      </c>
      <c r="B144" t="s">
        <v>302</v>
      </c>
      <c r="C144">
        <v>1650621553000</v>
      </c>
      <c r="D144" t="str">
        <f t="shared" si="8"/>
        <v>1650621553.000</v>
      </c>
      <c r="E144" s="3">
        <f t="shared" si="9"/>
        <v>44673.416122685187</v>
      </c>
      <c r="F144" t="s">
        <v>405</v>
      </c>
      <c r="G144">
        <v>838</v>
      </c>
      <c r="H144">
        <v>25</v>
      </c>
      <c r="I144">
        <v>148</v>
      </c>
      <c r="J144">
        <v>189</v>
      </c>
      <c r="K144">
        <v>4429</v>
      </c>
      <c r="L144">
        <v>2.7</v>
      </c>
      <c r="M144">
        <v>1492</v>
      </c>
      <c r="P144">
        <v>59</v>
      </c>
      <c r="Q144">
        <v>7</v>
      </c>
      <c r="R144">
        <v>9</v>
      </c>
      <c r="S144">
        <v>18</v>
      </c>
      <c r="T144">
        <v>7</v>
      </c>
      <c r="U144">
        <v>18</v>
      </c>
      <c r="V144">
        <v>1768614446540</v>
      </c>
    </row>
    <row r="145" spans="1:22" x14ac:dyDescent="0.25">
      <c r="A145" t="s">
        <v>303</v>
      </c>
      <c r="B145" t="s">
        <v>304</v>
      </c>
      <c r="C145">
        <v>1649111518000</v>
      </c>
      <c r="D145" t="str">
        <f t="shared" si="8"/>
        <v>1649111518.000</v>
      </c>
      <c r="E145" s="3">
        <f t="shared" si="9"/>
        <v>44655.93886574074</v>
      </c>
      <c r="F145" t="s">
        <v>406</v>
      </c>
      <c r="G145">
        <v>853</v>
      </c>
      <c r="H145">
        <v>23</v>
      </c>
      <c r="I145">
        <v>147</v>
      </c>
      <c r="J145">
        <v>184</v>
      </c>
      <c r="K145">
        <v>3528</v>
      </c>
      <c r="L145">
        <v>1.69</v>
      </c>
      <c r="M145">
        <v>1026</v>
      </c>
      <c r="P145">
        <v>60</v>
      </c>
      <c r="Q145">
        <v>8</v>
      </c>
      <c r="R145">
        <v>6</v>
      </c>
      <c r="S145">
        <v>23</v>
      </c>
      <c r="T145">
        <v>15</v>
      </c>
      <c r="U145">
        <v>8</v>
      </c>
      <c r="V145">
        <v>1768614446568</v>
      </c>
    </row>
    <row r="146" spans="1:22" x14ac:dyDescent="0.25">
      <c r="A146" t="s">
        <v>305</v>
      </c>
      <c r="B146" t="s">
        <v>306</v>
      </c>
      <c r="C146">
        <v>1648765871000</v>
      </c>
      <c r="D146" t="str">
        <f t="shared" si="8"/>
        <v>1648765871.000</v>
      </c>
      <c r="E146" s="3">
        <f t="shared" si="9"/>
        <v>44651.938321759255</v>
      </c>
      <c r="F146" t="s">
        <v>406</v>
      </c>
      <c r="G146">
        <v>769</v>
      </c>
      <c r="H146">
        <v>19</v>
      </c>
      <c r="I146">
        <v>142</v>
      </c>
      <c r="J146">
        <v>181</v>
      </c>
      <c r="K146">
        <v>4162</v>
      </c>
      <c r="L146">
        <v>2.67</v>
      </c>
      <c r="M146">
        <v>1602</v>
      </c>
      <c r="P146">
        <v>56</v>
      </c>
      <c r="Q146">
        <v>10</v>
      </c>
      <c r="R146">
        <v>7</v>
      </c>
      <c r="S146">
        <v>20</v>
      </c>
      <c r="T146">
        <v>11</v>
      </c>
      <c r="U146">
        <v>8</v>
      </c>
      <c r="V146">
        <v>1768614446594</v>
      </c>
    </row>
    <row r="147" spans="1:22" x14ac:dyDescent="0.25">
      <c r="A147" t="s">
        <v>307</v>
      </c>
      <c r="B147" t="s">
        <v>308</v>
      </c>
      <c r="C147">
        <v>1648506681000</v>
      </c>
      <c r="D147" t="str">
        <f t="shared" si="8"/>
        <v>1648506681.000</v>
      </c>
      <c r="E147" s="3">
        <f t="shared" si="9"/>
        <v>44648.938437500001</v>
      </c>
      <c r="F147" t="s">
        <v>406</v>
      </c>
      <c r="G147">
        <v>707</v>
      </c>
      <c r="H147">
        <v>22</v>
      </c>
      <c r="I147">
        <v>136</v>
      </c>
      <c r="J147">
        <v>185</v>
      </c>
      <c r="K147">
        <v>3493</v>
      </c>
      <c r="L147">
        <v>1.98</v>
      </c>
      <c r="M147">
        <v>1092</v>
      </c>
      <c r="P147">
        <v>57</v>
      </c>
      <c r="Q147">
        <v>18</v>
      </c>
      <c r="R147">
        <v>7</v>
      </c>
      <c r="S147">
        <v>10</v>
      </c>
      <c r="T147">
        <v>11</v>
      </c>
      <c r="U147">
        <v>11</v>
      </c>
      <c r="V147">
        <v>1768614446614</v>
      </c>
    </row>
    <row r="148" spans="1:22" x14ac:dyDescent="0.25">
      <c r="A148" t="s">
        <v>309</v>
      </c>
      <c r="B148" t="s">
        <v>310</v>
      </c>
      <c r="C148">
        <v>1648074584000</v>
      </c>
      <c r="D148" t="str">
        <f t="shared" si="8"/>
        <v>1648074584.000</v>
      </c>
      <c r="E148" s="3">
        <f t="shared" si="9"/>
        <v>44643.937314814815</v>
      </c>
      <c r="F148" t="s">
        <v>406</v>
      </c>
      <c r="G148">
        <v>832</v>
      </c>
      <c r="H148">
        <v>22</v>
      </c>
      <c r="I148">
        <v>148</v>
      </c>
      <c r="J148">
        <v>185</v>
      </c>
      <c r="K148">
        <v>4078</v>
      </c>
      <c r="L148">
        <v>1.81</v>
      </c>
      <c r="M148">
        <v>1038</v>
      </c>
      <c r="P148">
        <v>58</v>
      </c>
      <c r="Q148">
        <v>3</v>
      </c>
      <c r="R148">
        <v>11</v>
      </c>
      <c r="S148">
        <v>22</v>
      </c>
      <c r="T148">
        <v>13</v>
      </c>
      <c r="U148">
        <v>9</v>
      </c>
      <c r="V148">
        <v>1768614446638</v>
      </c>
    </row>
    <row r="149" spans="1:22" x14ac:dyDescent="0.25">
      <c r="A149" t="s">
        <v>311</v>
      </c>
      <c r="B149" t="s">
        <v>312</v>
      </c>
      <c r="C149">
        <v>1647036889000</v>
      </c>
      <c r="D149" t="str">
        <f t="shared" si="8"/>
        <v>1647036889.000</v>
      </c>
      <c r="E149" s="3">
        <f t="shared" si="9"/>
        <v>44631.92695601852</v>
      </c>
      <c r="F149" t="s">
        <v>405</v>
      </c>
      <c r="G149">
        <v>857</v>
      </c>
      <c r="H149">
        <v>24</v>
      </c>
      <c r="I149">
        <v>148</v>
      </c>
      <c r="J149">
        <v>183</v>
      </c>
      <c r="K149">
        <v>4413</v>
      </c>
      <c r="L149">
        <v>2.78</v>
      </c>
      <c r="M149">
        <v>1579</v>
      </c>
      <c r="P149">
        <v>60</v>
      </c>
      <c r="Q149">
        <v>7</v>
      </c>
      <c r="R149">
        <v>8</v>
      </c>
      <c r="S149">
        <v>21</v>
      </c>
      <c r="T149">
        <v>10</v>
      </c>
      <c r="U149">
        <v>14</v>
      </c>
      <c r="V149">
        <v>1768614446665</v>
      </c>
    </row>
    <row r="150" spans="1:22" x14ac:dyDescent="0.25">
      <c r="A150" t="s">
        <v>313</v>
      </c>
      <c r="B150" t="s">
        <v>314</v>
      </c>
      <c r="C150">
        <v>1646695687000</v>
      </c>
      <c r="D150" t="str">
        <f t="shared" si="8"/>
        <v>1646695687.000</v>
      </c>
      <c r="E150" s="3">
        <f t="shared" si="9"/>
        <v>44627.977858796294</v>
      </c>
      <c r="F150" t="s">
        <v>406</v>
      </c>
      <c r="G150">
        <v>772</v>
      </c>
      <c r="H150">
        <v>16</v>
      </c>
      <c r="I150">
        <v>144</v>
      </c>
      <c r="J150">
        <v>182</v>
      </c>
      <c r="K150">
        <v>3807</v>
      </c>
      <c r="L150">
        <v>1.91</v>
      </c>
      <c r="M150">
        <v>1029</v>
      </c>
      <c r="P150">
        <v>56</v>
      </c>
      <c r="Q150">
        <v>9</v>
      </c>
      <c r="R150">
        <v>7</v>
      </c>
      <c r="S150">
        <v>24</v>
      </c>
      <c r="T150">
        <v>6</v>
      </c>
      <c r="U150">
        <v>10</v>
      </c>
      <c r="V150">
        <v>1768614446692</v>
      </c>
    </row>
    <row r="151" spans="1:22" x14ac:dyDescent="0.25">
      <c r="A151" t="s">
        <v>315</v>
      </c>
      <c r="B151" t="s">
        <v>316</v>
      </c>
      <c r="C151">
        <v>1646432050000</v>
      </c>
      <c r="D151" t="str">
        <f t="shared" si="8"/>
        <v>1646432050.000</v>
      </c>
      <c r="E151" s="3">
        <f t="shared" si="9"/>
        <v>44624.926504629635</v>
      </c>
      <c r="F151" t="s">
        <v>405</v>
      </c>
      <c r="G151">
        <v>723</v>
      </c>
      <c r="H151">
        <v>14</v>
      </c>
      <c r="I151">
        <v>136</v>
      </c>
      <c r="J151">
        <v>180</v>
      </c>
      <c r="K151">
        <v>2350</v>
      </c>
      <c r="L151">
        <v>1.34</v>
      </c>
      <c r="M151">
        <v>551</v>
      </c>
      <c r="P151">
        <v>57</v>
      </c>
      <c r="Q151">
        <v>13</v>
      </c>
      <c r="R151">
        <v>12</v>
      </c>
      <c r="S151">
        <v>18</v>
      </c>
      <c r="T151">
        <v>13</v>
      </c>
      <c r="U151">
        <v>1</v>
      </c>
      <c r="V151">
        <v>1768614446718</v>
      </c>
    </row>
    <row r="152" spans="1:22" x14ac:dyDescent="0.25">
      <c r="A152" t="s">
        <v>317</v>
      </c>
      <c r="B152" t="s">
        <v>318</v>
      </c>
      <c r="C152">
        <v>1646263807000</v>
      </c>
      <c r="D152" t="str">
        <f t="shared" si="8"/>
        <v>1646263807.000</v>
      </c>
      <c r="E152" s="3">
        <f t="shared" si="9"/>
        <v>44622.979247685187</v>
      </c>
      <c r="F152" t="s">
        <v>406</v>
      </c>
      <c r="G152">
        <v>818</v>
      </c>
      <c r="H152">
        <v>23</v>
      </c>
      <c r="I152">
        <v>151</v>
      </c>
      <c r="J152">
        <v>184</v>
      </c>
      <c r="K152">
        <v>2958</v>
      </c>
      <c r="L152">
        <v>1.85</v>
      </c>
      <c r="M152">
        <v>1042</v>
      </c>
      <c r="P152">
        <v>55</v>
      </c>
      <c r="Q152">
        <v>1</v>
      </c>
      <c r="R152">
        <v>10</v>
      </c>
      <c r="S152">
        <v>21</v>
      </c>
      <c r="T152">
        <v>18</v>
      </c>
      <c r="U152">
        <v>5</v>
      </c>
      <c r="V152">
        <v>1768614446746</v>
      </c>
    </row>
    <row r="153" spans="1:22" x14ac:dyDescent="0.25">
      <c r="A153" t="s">
        <v>319</v>
      </c>
      <c r="B153" t="s">
        <v>320</v>
      </c>
      <c r="C153">
        <v>1646086409000</v>
      </c>
      <c r="D153" t="str">
        <f t="shared" si="8"/>
        <v>1646086409.000</v>
      </c>
      <c r="E153" s="3">
        <f t="shared" si="9"/>
        <v>44620.926030092596</v>
      </c>
      <c r="F153" t="s">
        <v>405</v>
      </c>
      <c r="G153">
        <v>784</v>
      </c>
      <c r="H153">
        <v>21</v>
      </c>
      <c r="I153">
        <v>143</v>
      </c>
      <c r="J153">
        <v>183</v>
      </c>
      <c r="K153">
        <v>4181</v>
      </c>
      <c r="L153">
        <v>2.7</v>
      </c>
      <c r="M153">
        <v>1604</v>
      </c>
      <c r="P153">
        <v>57</v>
      </c>
      <c r="Q153">
        <v>8</v>
      </c>
      <c r="R153">
        <v>12</v>
      </c>
      <c r="S153">
        <v>16</v>
      </c>
      <c r="T153">
        <v>11</v>
      </c>
      <c r="U153">
        <v>10</v>
      </c>
      <c r="V153">
        <v>1768614446771</v>
      </c>
    </row>
    <row r="154" spans="1:22" x14ac:dyDescent="0.25">
      <c r="A154" t="s">
        <v>321</v>
      </c>
      <c r="B154" t="s">
        <v>322</v>
      </c>
      <c r="C154">
        <v>1645827280000</v>
      </c>
      <c r="D154" t="str">
        <f t="shared" si="8"/>
        <v>1645827280.000</v>
      </c>
      <c r="E154" s="3">
        <f t="shared" si="9"/>
        <v>44617.926851851851</v>
      </c>
      <c r="F154" t="s">
        <v>406</v>
      </c>
      <c r="G154">
        <v>874</v>
      </c>
      <c r="H154">
        <v>25</v>
      </c>
      <c r="I154">
        <v>154</v>
      </c>
      <c r="J154">
        <v>187</v>
      </c>
      <c r="K154">
        <v>2970</v>
      </c>
      <c r="L154">
        <v>1.88</v>
      </c>
      <c r="M154">
        <v>988</v>
      </c>
      <c r="P154">
        <v>57</v>
      </c>
      <c r="Q154">
        <v>4</v>
      </c>
      <c r="R154">
        <v>4</v>
      </c>
      <c r="S154">
        <v>24</v>
      </c>
      <c r="T154">
        <v>11</v>
      </c>
      <c r="U154">
        <v>14</v>
      </c>
      <c r="V154">
        <v>1768614446791</v>
      </c>
    </row>
    <row r="155" spans="1:22" x14ac:dyDescent="0.25">
      <c r="A155" t="s">
        <v>323</v>
      </c>
      <c r="B155" t="s">
        <v>324</v>
      </c>
      <c r="C155">
        <v>1645659019000</v>
      </c>
      <c r="D155" t="str">
        <f t="shared" si="8"/>
        <v>1645659019.000</v>
      </c>
      <c r="E155" s="3">
        <f t="shared" si="9"/>
        <v>44615.979386574079</v>
      </c>
      <c r="F155" t="s">
        <v>406</v>
      </c>
      <c r="G155">
        <v>868</v>
      </c>
      <c r="H155">
        <v>24</v>
      </c>
      <c r="I155">
        <v>150</v>
      </c>
      <c r="J155">
        <v>185</v>
      </c>
      <c r="K155">
        <v>3280</v>
      </c>
      <c r="L155">
        <v>1.85</v>
      </c>
      <c r="M155">
        <v>1078</v>
      </c>
      <c r="P155">
        <v>60</v>
      </c>
      <c r="Q155">
        <v>4</v>
      </c>
      <c r="R155">
        <v>8</v>
      </c>
      <c r="S155">
        <v>24</v>
      </c>
      <c r="T155">
        <v>19</v>
      </c>
      <c r="U155">
        <v>5</v>
      </c>
      <c r="V155">
        <v>1768614446812</v>
      </c>
    </row>
    <row r="156" spans="1:22" x14ac:dyDescent="0.25">
      <c r="A156" t="s">
        <v>325</v>
      </c>
      <c r="B156" t="s">
        <v>326</v>
      </c>
      <c r="C156">
        <v>1645568039000</v>
      </c>
      <c r="D156" t="str">
        <f t="shared" si="8"/>
        <v>1645568039.000</v>
      </c>
      <c r="E156" s="3">
        <f t="shared" si="9"/>
        <v>44614.926377314812</v>
      </c>
      <c r="F156" t="s">
        <v>405</v>
      </c>
      <c r="G156">
        <v>932</v>
      </c>
      <c r="H156">
        <v>38</v>
      </c>
      <c r="I156">
        <v>163</v>
      </c>
      <c r="J156">
        <v>192</v>
      </c>
      <c r="K156">
        <v>4218</v>
      </c>
      <c r="L156">
        <v>2.79</v>
      </c>
      <c r="M156">
        <v>1598</v>
      </c>
      <c r="P156">
        <v>55</v>
      </c>
      <c r="Q156">
        <v>3</v>
      </c>
      <c r="R156">
        <v>2</v>
      </c>
      <c r="S156">
        <v>12</v>
      </c>
      <c r="T156">
        <v>18</v>
      </c>
      <c r="U156">
        <v>20</v>
      </c>
      <c r="V156">
        <v>1768614446843</v>
      </c>
    </row>
    <row r="157" spans="1:22" x14ac:dyDescent="0.25">
      <c r="A157" t="s">
        <v>327</v>
      </c>
      <c r="B157" t="s">
        <v>328</v>
      </c>
      <c r="C157">
        <v>1645136034000</v>
      </c>
      <c r="D157" t="str">
        <f t="shared" si="8"/>
        <v>1645136034.000</v>
      </c>
      <c r="E157" s="3">
        <f t="shared" si="9"/>
        <v>44609.926319444443</v>
      </c>
      <c r="F157" t="s">
        <v>405</v>
      </c>
      <c r="G157">
        <v>999</v>
      </c>
      <c r="H157">
        <v>45</v>
      </c>
      <c r="I157">
        <v>167</v>
      </c>
      <c r="J157">
        <v>190</v>
      </c>
      <c r="K157">
        <v>4548</v>
      </c>
      <c r="L157">
        <v>3.03</v>
      </c>
      <c r="M157">
        <v>1609</v>
      </c>
      <c r="P157">
        <v>57</v>
      </c>
      <c r="Q157">
        <v>4</v>
      </c>
      <c r="R157">
        <v>1</v>
      </c>
      <c r="S157">
        <v>7</v>
      </c>
      <c r="T157">
        <v>18</v>
      </c>
      <c r="U157">
        <v>27</v>
      </c>
      <c r="V157">
        <v>1768614446875</v>
      </c>
    </row>
    <row r="158" spans="1:22" x14ac:dyDescent="0.25">
      <c r="A158" t="s">
        <v>329</v>
      </c>
      <c r="B158" t="s">
        <v>330</v>
      </c>
      <c r="C158">
        <v>1644963195000</v>
      </c>
      <c r="D158" t="str">
        <f t="shared" si="8"/>
        <v>1644963195.000</v>
      </c>
      <c r="E158" s="3">
        <f t="shared" si="9"/>
        <v>44607.92586805555</v>
      </c>
      <c r="F158" t="s">
        <v>405</v>
      </c>
      <c r="G158">
        <v>919</v>
      </c>
      <c r="H158">
        <v>33</v>
      </c>
      <c r="I158">
        <v>159</v>
      </c>
      <c r="J158">
        <v>194</v>
      </c>
      <c r="K158">
        <v>3619</v>
      </c>
      <c r="L158">
        <v>2.27</v>
      </c>
      <c r="M158">
        <v>1343</v>
      </c>
      <c r="P158">
        <v>56</v>
      </c>
      <c r="Q158">
        <v>2</v>
      </c>
      <c r="R158">
        <v>3</v>
      </c>
      <c r="S158">
        <v>18</v>
      </c>
      <c r="T158">
        <v>19</v>
      </c>
      <c r="U158">
        <v>14</v>
      </c>
      <c r="V158">
        <v>1768614446906</v>
      </c>
    </row>
    <row r="159" spans="1:22" x14ac:dyDescent="0.25">
      <c r="A159" t="s">
        <v>331</v>
      </c>
      <c r="B159" t="s">
        <v>332</v>
      </c>
      <c r="C159">
        <v>1644881520000</v>
      </c>
      <c r="D159" t="str">
        <f t="shared" si="8"/>
        <v>1644881520.000</v>
      </c>
      <c r="E159" s="3">
        <f t="shared" si="9"/>
        <v>44606.98055555555</v>
      </c>
      <c r="F159" t="s">
        <v>406</v>
      </c>
      <c r="G159">
        <v>859</v>
      </c>
      <c r="H159">
        <v>28</v>
      </c>
      <c r="I159">
        <v>148</v>
      </c>
      <c r="J159">
        <v>189</v>
      </c>
      <c r="K159">
        <v>3275</v>
      </c>
      <c r="L159">
        <v>1.77</v>
      </c>
      <c r="M159">
        <v>1089</v>
      </c>
      <c r="P159">
        <v>60</v>
      </c>
      <c r="Q159">
        <v>10</v>
      </c>
      <c r="R159">
        <v>5</v>
      </c>
      <c r="S159">
        <v>17</v>
      </c>
      <c r="T159">
        <v>17</v>
      </c>
      <c r="U159">
        <v>11</v>
      </c>
      <c r="V159">
        <v>1768614446934</v>
      </c>
    </row>
    <row r="160" spans="1:22" x14ac:dyDescent="0.25">
      <c r="A160" t="s">
        <v>333</v>
      </c>
      <c r="B160" t="s">
        <v>334</v>
      </c>
      <c r="C160">
        <v>1644012811000</v>
      </c>
      <c r="D160" t="str">
        <f t="shared" si="8"/>
        <v>1644012811.000</v>
      </c>
      <c r="E160" s="3">
        <f t="shared" si="9"/>
        <v>44596.926053240735</v>
      </c>
      <c r="F160" t="s">
        <v>406</v>
      </c>
      <c r="G160">
        <v>833</v>
      </c>
      <c r="H160">
        <v>28</v>
      </c>
      <c r="I160">
        <v>147</v>
      </c>
      <c r="J160">
        <v>181</v>
      </c>
      <c r="K160">
        <v>3261</v>
      </c>
      <c r="L160">
        <v>1.86</v>
      </c>
      <c r="M160">
        <v>1043</v>
      </c>
      <c r="P160">
        <v>58</v>
      </c>
      <c r="Q160">
        <v>6</v>
      </c>
      <c r="R160">
        <v>9</v>
      </c>
      <c r="S160">
        <v>15</v>
      </c>
      <c r="T160">
        <v>18</v>
      </c>
      <c r="U160">
        <v>10</v>
      </c>
      <c r="V160">
        <v>1768614446987</v>
      </c>
    </row>
    <row r="161" spans="1:22" x14ac:dyDescent="0.25">
      <c r="A161" t="s">
        <v>335</v>
      </c>
      <c r="B161" t="s">
        <v>336</v>
      </c>
      <c r="C161">
        <v>1643840030000</v>
      </c>
      <c r="D161" t="str">
        <f t="shared" si="8"/>
        <v>1643840030.000</v>
      </c>
      <c r="E161" s="3">
        <f t="shared" si="9"/>
        <v>44594.926273148143</v>
      </c>
      <c r="F161" t="s">
        <v>405</v>
      </c>
      <c r="G161">
        <v>841</v>
      </c>
      <c r="H161">
        <v>25</v>
      </c>
      <c r="I161">
        <v>151</v>
      </c>
      <c r="J161">
        <v>186</v>
      </c>
      <c r="K161">
        <v>4333</v>
      </c>
      <c r="L161">
        <v>2.61</v>
      </c>
      <c r="M161">
        <v>1513</v>
      </c>
      <c r="P161">
        <v>58</v>
      </c>
      <c r="Q161">
        <v>6</v>
      </c>
      <c r="R161">
        <v>8</v>
      </c>
      <c r="S161">
        <v>19</v>
      </c>
      <c r="T161">
        <v>8</v>
      </c>
      <c r="U161">
        <v>17</v>
      </c>
      <c r="V161">
        <v>1768614447006</v>
      </c>
    </row>
    <row r="162" spans="1:22" x14ac:dyDescent="0.25">
      <c r="A162" t="s">
        <v>337</v>
      </c>
      <c r="B162" t="s">
        <v>338</v>
      </c>
      <c r="C162">
        <v>1643667247000</v>
      </c>
      <c r="D162" t="str">
        <f t="shared" ref="D162:D193" si="10">LEFT(C162,10) &amp; "." &amp; RIGHT(C162,3)</f>
        <v>1643667247.000</v>
      </c>
      <c r="E162" s="3">
        <f t="shared" ref="E162:E193" si="11">(((D162/60)/60)/24)+DATE(1970,1,1)</f>
        <v>44592.926469907412</v>
      </c>
      <c r="F162" t="s">
        <v>405</v>
      </c>
      <c r="G162">
        <v>952</v>
      </c>
      <c r="H162">
        <v>37</v>
      </c>
      <c r="I162">
        <v>162</v>
      </c>
      <c r="J162">
        <v>193</v>
      </c>
      <c r="K162">
        <v>3283</v>
      </c>
      <c r="L162">
        <v>1.77</v>
      </c>
      <c r="M162">
        <v>801</v>
      </c>
      <c r="P162">
        <v>58</v>
      </c>
      <c r="Q162">
        <v>2</v>
      </c>
      <c r="R162">
        <v>4</v>
      </c>
      <c r="S162">
        <v>15</v>
      </c>
      <c r="T162">
        <v>19</v>
      </c>
      <c r="U162">
        <v>18</v>
      </c>
      <c r="V162">
        <v>1768614447026</v>
      </c>
    </row>
    <row r="163" spans="1:22" x14ac:dyDescent="0.25">
      <c r="A163" t="s">
        <v>339</v>
      </c>
      <c r="B163" t="s">
        <v>340</v>
      </c>
      <c r="C163">
        <v>1643239722000</v>
      </c>
      <c r="D163" t="str">
        <f t="shared" si="10"/>
        <v>1643239722.000</v>
      </c>
      <c r="E163" s="3">
        <f t="shared" si="11"/>
        <v>44587.978263888886</v>
      </c>
      <c r="F163" t="s">
        <v>405</v>
      </c>
      <c r="G163">
        <v>780</v>
      </c>
      <c r="H163">
        <v>24</v>
      </c>
      <c r="I163">
        <v>147</v>
      </c>
      <c r="J163">
        <v>190</v>
      </c>
      <c r="K163">
        <v>3191</v>
      </c>
      <c r="L163">
        <v>1.7</v>
      </c>
      <c r="M163">
        <v>934</v>
      </c>
      <c r="P163">
        <v>55</v>
      </c>
      <c r="Q163">
        <v>9</v>
      </c>
      <c r="R163">
        <v>6</v>
      </c>
      <c r="S163">
        <v>16</v>
      </c>
      <c r="T163">
        <v>14</v>
      </c>
      <c r="U163">
        <v>10</v>
      </c>
      <c r="V163">
        <v>1768614447049</v>
      </c>
    </row>
    <row r="164" spans="1:22" x14ac:dyDescent="0.25">
      <c r="A164" t="s">
        <v>341</v>
      </c>
      <c r="B164" t="s">
        <v>342</v>
      </c>
      <c r="C164">
        <v>1643066958000</v>
      </c>
      <c r="D164" t="str">
        <f t="shared" si="10"/>
        <v>1643066958.000</v>
      </c>
      <c r="E164" s="3">
        <f t="shared" si="11"/>
        <v>44585.978680555556</v>
      </c>
      <c r="F164" t="s">
        <v>406</v>
      </c>
      <c r="G164">
        <v>908</v>
      </c>
      <c r="H164">
        <v>35</v>
      </c>
      <c r="I164">
        <v>156</v>
      </c>
      <c r="J164">
        <v>192</v>
      </c>
      <c r="K164">
        <v>3702</v>
      </c>
      <c r="L164">
        <v>1.87</v>
      </c>
      <c r="M164">
        <v>995</v>
      </c>
      <c r="P164">
        <v>57</v>
      </c>
      <c r="Q164">
        <v>5</v>
      </c>
      <c r="R164">
        <v>3</v>
      </c>
      <c r="S164">
        <v>14</v>
      </c>
      <c r="T164">
        <v>20</v>
      </c>
      <c r="U164">
        <v>15</v>
      </c>
      <c r="V164">
        <v>1768614447080</v>
      </c>
    </row>
    <row r="165" spans="1:22" x14ac:dyDescent="0.25">
      <c r="A165" t="s">
        <v>343</v>
      </c>
      <c r="B165" t="s">
        <v>344</v>
      </c>
      <c r="C165">
        <v>1642198441000</v>
      </c>
      <c r="D165" t="str">
        <f t="shared" si="10"/>
        <v>1642198441.000</v>
      </c>
      <c r="E165" s="3">
        <f t="shared" si="11"/>
        <v>44575.926400462966</v>
      </c>
      <c r="F165" t="s">
        <v>405</v>
      </c>
      <c r="G165">
        <v>1000</v>
      </c>
      <c r="H165">
        <v>43</v>
      </c>
      <c r="I165">
        <v>167</v>
      </c>
      <c r="J165">
        <v>195</v>
      </c>
      <c r="K165">
        <v>3945</v>
      </c>
      <c r="L165">
        <v>2.93</v>
      </c>
      <c r="M165">
        <v>1592</v>
      </c>
      <c r="P165">
        <v>58</v>
      </c>
      <c r="Q165">
        <v>1</v>
      </c>
      <c r="R165">
        <v>5</v>
      </c>
      <c r="S165">
        <v>9</v>
      </c>
      <c r="T165">
        <v>19</v>
      </c>
      <c r="U165">
        <v>24</v>
      </c>
      <c r="V165">
        <v>1768614447111</v>
      </c>
    </row>
    <row r="166" spans="1:22" x14ac:dyDescent="0.25">
      <c r="A166" t="s">
        <v>345</v>
      </c>
      <c r="B166" s="1" t="s">
        <v>346</v>
      </c>
      <c r="C166">
        <v>1642029945000</v>
      </c>
      <c r="D166" t="str">
        <f t="shared" si="10"/>
        <v>1642029945.000</v>
      </c>
      <c r="E166" s="3">
        <f t="shared" si="11"/>
        <v>44573.976215277777</v>
      </c>
      <c r="F166" t="s">
        <v>405</v>
      </c>
      <c r="G166">
        <v>813</v>
      </c>
      <c r="H166">
        <v>24</v>
      </c>
      <c r="I166">
        <v>151</v>
      </c>
      <c r="J166">
        <v>185</v>
      </c>
      <c r="K166">
        <v>3182</v>
      </c>
      <c r="L166">
        <v>1.5</v>
      </c>
      <c r="M166">
        <v>884</v>
      </c>
      <c r="P166">
        <v>53</v>
      </c>
      <c r="Q166">
        <v>3</v>
      </c>
      <c r="R166">
        <v>6</v>
      </c>
      <c r="S166">
        <v>20</v>
      </c>
      <c r="T166">
        <v>15</v>
      </c>
      <c r="U166">
        <v>9</v>
      </c>
      <c r="V166">
        <v>1768614447138</v>
      </c>
    </row>
    <row r="167" spans="1:22" x14ac:dyDescent="0.25">
      <c r="A167" t="s">
        <v>347</v>
      </c>
      <c r="B167" s="1" t="s">
        <v>348</v>
      </c>
      <c r="C167">
        <v>1641852821000</v>
      </c>
      <c r="D167" t="str">
        <f t="shared" si="10"/>
        <v>1641852821.000</v>
      </c>
      <c r="E167" s="3">
        <f t="shared" si="11"/>
        <v>44571.926168981481</v>
      </c>
      <c r="F167" t="s">
        <v>405</v>
      </c>
      <c r="G167">
        <v>943</v>
      </c>
      <c r="H167">
        <v>34</v>
      </c>
      <c r="I167">
        <v>160</v>
      </c>
      <c r="J167">
        <v>188</v>
      </c>
      <c r="K167">
        <v>4032</v>
      </c>
      <c r="L167">
        <v>2.63</v>
      </c>
      <c r="M167">
        <v>1559</v>
      </c>
      <c r="P167">
        <v>58</v>
      </c>
      <c r="Q167">
        <v>2</v>
      </c>
      <c r="R167">
        <v>4</v>
      </c>
      <c r="S167">
        <v>18</v>
      </c>
      <c r="T167">
        <v>15</v>
      </c>
      <c r="U167">
        <v>19</v>
      </c>
      <c r="V167">
        <v>1768614447158</v>
      </c>
    </row>
    <row r="168" spans="1:22" x14ac:dyDescent="0.25">
      <c r="A168" t="s">
        <v>349</v>
      </c>
      <c r="B168" t="s">
        <v>350</v>
      </c>
      <c r="C168">
        <v>1641507196000</v>
      </c>
      <c r="D168" t="str">
        <f t="shared" si="10"/>
        <v>1641507196.000</v>
      </c>
      <c r="E168" s="3">
        <f t="shared" si="11"/>
        <v>44567.925879629634</v>
      </c>
      <c r="F168" t="s">
        <v>405</v>
      </c>
      <c r="G168">
        <v>872</v>
      </c>
      <c r="H168">
        <v>28</v>
      </c>
      <c r="I168">
        <v>157</v>
      </c>
      <c r="J168">
        <v>192</v>
      </c>
      <c r="K168">
        <v>4140</v>
      </c>
      <c r="L168">
        <v>2.71</v>
      </c>
      <c r="M168">
        <v>1507</v>
      </c>
      <c r="P168">
        <v>55</v>
      </c>
      <c r="Q168">
        <v>4</v>
      </c>
      <c r="R168">
        <v>2</v>
      </c>
      <c r="S168">
        <v>21</v>
      </c>
      <c r="T168">
        <v>9</v>
      </c>
      <c r="U168">
        <v>19</v>
      </c>
      <c r="V168">
        <v>1768614447185</v>
      </c>
    </row>
    <row r="169" spans="1:22" x14ac:dyDescent="0.25">
      <c r="A169" t="s">
        <v>351</v>
      </c>
      <c r="B169" s="1" t="s">
        <v>352</v>
      </c>
      <c r="C169">
        <v>1641232708000</v>
      </c>
      <c r="D169" t="str">
        <f t="shared" si="10"/>
        <v>1641232708.000</v>
      </c>
      <c r="E169" s="3">
        <f t="shared" si="11"/>
        <v>44564.748935185184</v>
      </c>
      <c r="F169" t="s">
        <v>405</v>
      </c>
      <c r="G169">
        <v>840</v>
      </c>
      <c r="H169">
        <v>30</v>
      </c>
      <c r="I169">
        <v>154</v>
      </c>
      <c r="J169">
        <v>185</v>
      </c>
      <c r="K169">
        <v>4212</v>
      </c>
      <c r="L169">
        <v>2.59</v>
      </c>
      <c r="M169">
        <v>1503</v>
      </c>
      <c r="P169">
        <v>55</v>
      </c>
      <c r="Q169">
        <v>5</v>
      </c>
      <c r="R169">
        <v>4</v>
      </c>
      <c r="S169">
        <v>16</v>
      </c>
      <c r="T169">
        <v>18</v>
      </c>
      <c r="U169">
        <v>12</v>
      </c>
      <c r="V169">
        <v>1768614447213</v>
      </c>
    </row>
    <row r="170" spans="1:22" x14ac:dyDescent="0.25">
      <c r="A170" t="s">
        <v>353</v>
      </c>
      <c r="B170" s="1" t="s">
        <v>354</v>
      </c>
      <c r="C170">
        <v>1640816085000</v>
      </c>
      <c r="D170" t="str">
        <f t="shared" si="10"/>
        <v>1640816085.000</v>
      </c>
      <c r="E170" s="3">
        <f t="shared" si="11"/>
        <v>44559.926909722228</v>
      </c>
      <c r="F170" t="s">
        <v>405</v>
      </c>
      <c r="G170">
        <v>900</v>
      </c>
      <c r="H170">
        <v>30</v>
      </c>
      <c r="I170">
        <v>153</v>
      </c>
      <c r="J170">
        <v>187</v>
      </c>
      <c r="K170">
        <v>4496</v>
      </c>
      <c r="L170">
        <v>2.65</v>
      </c>
      <c r="M170">
        <v>1586</v>
      </c>
      <c r="P170">
        <v>59</v>
      </c>
      <c r="Q170">
        <v>5</v>
      </c>
      <c r="R170">
        <v>5</v>
      </c>
      <c r="S170">
        <v>19</v>
      </c>
      <c r="T170">
        <v>13</v>
      </c>
      <c r="U170">
        <v>17</v>
      </c>
      <c r="V170">
        <v>1768614447242</v>
      </c>
    </row>
    <row r="171" spans="1:22" x14ac:dyDescent="0.25">
      <c r="A171" t="s">
        <v>355</v>
      </c>
      <c r="B171" t="s">
        <v>356</v>
      </c>
      <c r="C171">
        <v>1640641386000</v>
      </c>
      <c r="D171" t="str">
        <f t="shared" si="10"/>
        <v>1640641386.000</v>
      </c>
      <c r="E171" s="3">
        <f t="shared" si="11"/>
        <v>44557.904930555553</v>
      </c>
      <c r="F171" t="s">
        <v>405</v>
      </c>
      <c r="G171">
        <v>878</v>
      </c>
      <c r="H171">
        <v>31</v>
      </c>
      <c r="I171">
        <v>154</v>
      </c>
      <c r="J171">
        <v>186</v>
      </c>
      <c r="K171">
        <v>4446</v>
      </c>
      <c r="L171">
        <v>2.5099999999999998</v>
      </c>
      <c r="M171">
        <v>1564</v>
      </c>
      <c r="P171">
        <v>57</v>
      </c>
      <c r="Q171">
        <v>7</v>
      </c>
      <c r="R171">
        <v>2</v>
      </c>
      <c r="S171">
        <v>17</v>
      </c>
      <c r="T171">
        <v>15</v>
      </c>
      <c r="U171">
        <v>16</v>
      </c>
      <c r="V171">
        <v>1768614447274</v>
      </c>
    </row>
    <row r="172" spans="1:22" x14ac:dyDescent="0.25">
      <c r="A172" t="s">
        <v>357</v>
      </c>
      <c r="B172" t="s">
        <v>358</v>
      </c>
      <c r="C172">
        <v>1640041200000</v>
      </c>
      <c r="D172" t="str">
        <f t="shared" si="10"/>
        <v>1640041200.000</v>
      </c>
      <c r="E172" s="3">
        <f t="shared" si="11"/>
        <v>44550.958333333328</v>
      </c>
      <c r="F172" t="s">
        <v>405</v>
      </c>
      <c r="G172">
        <v>941</v>
      </c>
      <c r="H172">
        <v>40</v>
      </c>
      <c r="I172">
        <v>158</v>
      </c>
      <c r="J172">
        <v>199</v>
      </c>
      <c r="K172">
        <v>3735</v>
      </c>
      <c r="L172">
        <v>2.04</v>
      </c>
      <c r="M172">
        <v>972</v>
      </c>
      <c r="P172">
        <v>60</v>
      </c>
      <c r="Q172">
        <v>8</v>
      </c>
      <c r="R172">
        <v>6</v>
      </c>
      <c r="S172">
        <v>6</v>
      </c>
      <c r="T172">
        <v>15</v>
      </c>
      <c r="U172">
        <v>25</v>
      </c>
      <c r="V172">
        <v>1768614447298</v>
      </c>
    </row>
    <row r="173" spans="1:22" x14ac:dyDescent="0.25">
      <c r="A173" t="s">
        <v>359</v>
      </c>
      <c r="B173" t="s">
        <v>360</v>
      </c>
      <c r="C173">
        <v>1639836817000</v>
      </c>
      <c r="D173" t="str">
        <f t="shared" si="10"/>
        <v>1639836817.000</v>
      </c>
      <c r="E173" s="3">
        <f t="shared" si="11"/>
        <v>44548.592789351853</v>
      </c>
      <c r="F173" t="s">
        <v>406</v>
      </c>
      <c r="G173">
        <v>865</v>
      </c>
      <c r="H173">
        <v>29</v>
      </c>
      <c r="I173">
        <v>156</v>
      </c>
      <c r="J173">
        <v>192</v>
      </c>
      <c r="K173">
        <v>3607</v>
      </c>
      <c r="L173">
        <v>1.71</v>
      </c>
      <c r="M173">
        <v>964</v>
      </c>
      <c r="P173">
        <v>55</v>
      </c>
      <c r="Q173">
        <v>3</v>
      </c>
      <c r="R173">
        <v>4</v>
      </c>
      <c r="S173">
        <v>19</v>
      </c>
      <c r="T173">
        <v>18</v>
      </c>
      <c r="U173">
        <v>11</v>
      </c>
      <c r="V173">
        <v>1768614447323</v>
      </c>
    </row>
    <row r="174" spans="1:22" x14ac:dyDescent="0.25">
      <c r="A174" t="s">
        <v>361</v>
      </c>
      <c r="B174" t="s">
        <v>362</v>
      </c>
      <c r="C174">
        <v>1639435410000</v>
      </c>
      <c r="D174" t="str">
        <f t="shared" si="10"/>
        <v>1639435410.000</v>
      </c>
      <c r="E174" s="3">
        <f t="shared" si="11"/>
        <v>44543.946874999994</v>
      </c>
      <c r="F174" t="s">
        <v>405</v>
      </c>
      <c r="G174">
        <v>935</v>
      </c>
      <c r="H174">
        <v>41</v>
      </c>
      <c r="I174">
        <v>162</v>
      </c>
      <c r="J174">
        <v>194</v>
      </c>
      <c r="K174">
        <v>3213</v>
      </c>
      <c r="L174">
        <v>1.55</v>
      </c>
      <c r="M174">
        <v>1001</v>
      </c>
      <c r="P174">
        <v>57</v>
      </c>
      <c r="Q174">
        <v>4</v>
      </c>
      <c r="R174">
        <v>4</v>
      </c>
      <c r="S174">
        <v>8</v>
      </c>
      <c r="T174">
        <v>22</v>
      </c>
      <c r="U174">
        <v>19</v>
      </c>
      <c r="V174">
        <v>1768614447352</v>
      </c>
    </row>
    <row r="175" spans="1:22" x14ac:dyDescent="0.25">
      <c r="A175" t="s">
        <v>363</v>
      </c>
      <c r="B175" t="s">
        <v>364</v>
      </c>
      <c r="C175">
        <v>1638554542000</v>
      </c>
      <c r="D175" t="str">
        <f t="shared" si="10"/>
        <v>1638554542.000</v>
      </c>
      <c r="E175" s="3">
        <f t="shared" si="11"/>
        <v>44533.751643518524</v>
      </c>
      <c r="F175" t="s">
        <v>405</v>
      </c>
      <c r="G175">
        <v>933</v>
      </c>
      <c r="H175">
        <v>35</v>
      </c>
      <c r="I175">
        <v>158</v>
      </c>
      <c r="J175">
        <v>194</v>
      </c>
      <c r="K175">
        <v>3243</v>
      </c>
      <c r="L175">
        <v>1.57</v>
      </c>
      <c r="M175">
        <v>780</v>
      </c>
      <c r="P175">
        <v>59</v>
      </c>
      <c r="Q175">
        <v>3</v>
      </c>
      <c r="R175">
        <v>5</v>
      </c>
      <c r="S175">
        <v>16</v>
      </c>
      <c r="T175">
        <v>22</v>
      </c>
      <c r="U175">
        <v>13</v>
      </c>
      <c r="V175">
        <v>1768614447374</v>
      </c>
    </row>
    <row r="176" spans="1:22" x14ac:dyDescent="0.25">
      <c r="A176" t="s">
        <v>365</v>
      </c>
      <c r="B176" t="s">
        <v>366</v>
      </c>
      <c r="C176">
        <v>1638399365000</v>
      </c>
      <c r="D176" t="str">
        <f t="shared" si="10"/>
        <v>1638399365.000</v>
      </c>
      <c r="E176" s="3">
        <f t="shared" si="11"/>
        <v>44531.955613425926</v>
      </c>
      <c r="F176" t="s">
        <v>405</v>
      </c>
      <c r="G176">
        <v>870</v>
      </c>
      <c r="H176">
        <v>32</v>
      </c>
      <c r="I176">
        <v>159</v>
      </c>
      <c r="J176">
        <v>188</v>
      </c>
      <c r="K176">
        <v>4048</v>
      </c>
      <c r="L176">
        <v>2.59</v>
      </c>
      <c r="M176">
        <v>1484</v>
      </c>
      <c r="P176">
        <v>54</v>
      </c>
      <c r="Q176">
        <v>3</v>
      </c>
      <c r="R176">
        <v>4</v>
      </c>
      <c r="S176">
        <v>15</v>
      </c>
      <c r="T176">
        <v>16</v>
      </c>
      <c r="U176">
        <v>16</v>
      </c>
      <c r="V176">
        <v>1768614447398</v>
      </c>
    </row>
    <row r="177" spans="1:22" x14ac:dyDescent="0.25">
      <c r="A177" t="s">
        <v>367</v>
      </c>
      <c r="B177" t="s">
        <v>368</v>
      </c>
      <c r="C177">
        <v>1637623867000</v>
      </c>
      <c r="D177" t="str">
        <f t="shared" si="10"/>
        <v>1637623867.000</v>
      </c>
      <c r="E177" s="3">
        <f t="shared" si="11"/>
        <v>44522.979942129634</v>
      </c>
      <c r="F177" t="s">
        <v>406</v>
      </c>
      <c r="G177">
        <v>836</v>
      </c>
      <c r="H177">
        <v>29</v>
      </c>
      <c r="I177">
        <v>149</v>
      </c>
      <c r="J177">
        <v>191</v>
      </c>
      <c r="K177">
        <v>3428</v>
      </c>
      <c r="L177">
        <v>0.22</v>
      </c>
      <c r="M177">
        <v>136</v>
      </c>
      <c r="P177">
        <v>58</v>
      </c>
      <c r="Q177">
        <v>7</v>
      </c>
      <c r="R177">
        <v>6</v>
      </c>
      <c r="S177">
        <v>16</v>
      </c>
      <c r="T177">
        <v>17</v>
      </c>
      <c r="U177">
        <v>12</v>
      </c>
      <c r="V177">
        <v>1768614447428</v>
      </c>
    </row>
    <row r="178" spans="1:22" x14ac:dyDescent="0.25">
      <c r="A178" t="s">
        <v>369</v>
      </c>
      <c r="B178" t="s">
        <v>370</v>
      </c>
      <c r="C178">
        <v>1637278187000</v>
      </c>
      <c r="D178" t="str">
        <f t="shared" si="10"/>
        <v>1637278187.000</v>
      </c>
      <c r="E178" s="3">
        <f t="shared" si="11"/>
        <v>44518.97901620371</v>
      </c>
      <c r="F178" t="s">
        <v>405</v>
      </c>
      <c r="G178">
        <v>836</v>
      </c>
      <c r="H178">
        <v>25</v>
      </c>
      <c r="I178">
        <v>152</v>
      </c>
      <c r="J178">
        <v>189</v>
      </c>
      <c r="K178">
        <v>3988</v>
      </c>
      <c r="L178">
        <v>2.5299999999999998</v>
      </c>
      <c r="M178">
        <v>1522</v>
      </c>
      <c r="P178">
        <v>56</v>
      </c>
      <c r="Q178">
        <v>6</v>
      </c>
      <c r="R178">
        <v>8</v>
      </c>
      <c r="S178">
        <v>17</v>
      </c>
      <c r="T178">
        <v>6</v>
      </c>
      <c r="U178">
        <v>19</v>
      </c>
      <c r="V178">
        <v>1768614447457</v>
      </c>
    </row>
    <row r="179" spans="1:22" x14ac:dyDescent="0.25">
      <c r="A179" t="s">
        <v>371</v>
      </c>
      <c r="B179" t="s">
        <v>372</v>
      </c>
      <c r="C179">
        <v>1637189915000</v>
      </c>
      <c r="D179" t="str">
        <f t="shared" si="10"/>
        <v>1637189915.000</v>
      </c>
      <c r="E179" s="3">
        <f t="shared" si="11"/>
        <v>44517.957349537035</v>
      </c>
      <c r="F179" t="s">
        <v>405</v>
      </c>
      <c r="G179">
        <v>668</v>
      </c>
      <c r="H179">
        <v>18</v>
      </c>
      <c r="I179">
        <v>133</v>
      </c>
      <c r="J179">
        <v>191</v>
      </c>
      <c r="K179">
        <v>2593</v>
      </c>
      <c r="L179">
        <v>1.71</v>
      </c>
      <c r="M179">
        <v>926</v>
      </c>
      <c r="P179">
        <v>56</v>
      </c>
      <c r="Q179">
        <v>20</v>
      </c>
      <c r="R179">
        <v>5</v>
      </c>
      <c r="S179">
        <v>13</v>
      </c>
      <c r="T179">
        <v>7</v>
      </c>
      <c r="U179">
        <v>11</v>
      </c>
      <c r="V179">
        <v>1768614447488</v>
      </c>
    </row>
    <row r="180" spans="1:22" x14ac:dyDescent="0.25">
      <c r="A180" t="s">
        <v>373</v>
      </c>
      <c r="B180" t="s">
        <v>374</v>
      </c>
      <c r="C180">
        <v>1636760292000</v>
      </c>
      <c r="D180" t="str">
        <f t="shared" si="10"/>
        <v>1636760292.000</v>
      </c>
      <c r="E180" s="3">
        <f t="shared" si="11"/>
        <v>44512.984861111108</v>
      </c>
      <c r="F180" t="s">
        <v>405</v>
      </c>
      <c r="G180">
        <v>769</v>
      </c>
      <c r="H180">
        <v>19</v>
      </c>
      <c r="I180">
        <v>145</v>
      </c>
      <c r="J180">
        <v>188</v>
      </c>
      <c r="K180">
        <v>3078</v>
      </c>
      <c r="L180">
        <v>1.77</v>
      </c>
      <c r="M180">
        <v>1030</v>
      </c>
      <c r="P180">
        <v>56</v>
      </c>
      <c r="Q180">
        <v>8</v>
      </c>
      <c r="R180">
        <v>13</v>
      </c>
      <c r="S180">
        <v>16</v>
      </c>
      <c r="T180">
        <v>6</v>
      </c>
      <c r="U180">
        <v>13</v>
      </c>
      <c r="V180">
        <v>1768614447517</v>
      </c>
    </row>
    <row r="181" spans="1:22" x14ac:dyDescent="0.25">
      <c r="A181" t="s">
        <v>375</v>
      </c>
      <c r="B181" t="s">
        <v>376</v>
      </c>
      <c r="C181">
        <v>1635373820000</v>
      </c>
      <c r="D181" t="str">
        <f t="shared" si="10"/>
        <v>1635373820.000</v>
      </c>
      <c r="E181" s="3">
        <f t="shared" si="11"/>
        <v>44496.937731481477</v>
      </c>
      <c r="F181" t="s">
        <v>405</v>
      </c>
      <c r="G181">
        <v>780</v>
      </c>
      <c r="H181">
        <v>22</v>
      </c>
      <c r="I181">
        <v>152</v>
      </c>
      <c r="J181">
        <v>185</v>
      </c>
      <c r="K181">
        <v>3031</v>
      </c>
      <c r="L181">
        <v>1.36</v>
      </c>
      <c r="M181">
        <v>864</v>
      </c>
      <c r="P181">
        <v>53</v>
      </c>
      <c r="Q181">
        <v>5</v>
      </c>
      <c r="R181">
        <v>3</v>
      </c>
      <c r="S181">
        <v>23</v>
      </c>
      <c r="T181">
        <v>10</v>
      </c>
      <c r="U181">
        <v>12</v>
      </c>
      <c r="V181">
        <v>1768614447546</v>
      </c>
    </row>
    <row r="182" spans="1:22" x14ac:dyDescent="0.25">
      <c r="A182" t="s">
        <v>377</v>
      </c>
      <c r="B182" t="s">
        <v>378</v>
      </c>
      <c r="C182">
        <v>1635200923000</v>
      </c>
      <c r="D182" t="str">
        <f t="shared" si="10"/>
        <v>1635200923.000</v>
      </c>
      <c r="E182" s="3">
        <f t="shared" si="11"/>
        <v>44494.936608796299</v>
      </c>
      <c r="F182" t="s">
        <v>405</v>
      </c>
      <c r="G182">
        <v>895</v>
      </c>
      <c r="H182">
        <v>36</v>
      </c>
      <c r="I182">
        <v>156</v>
      </c>
      <c r="J182">
        <v>187</v>
      </c>
      <c r="K182">
        <v>4263</v>
      </c>
      <c r="L182">
        <v>2.4900000000000002</v>
      </c>
      <c r="M182">
        <v>1472</v>
      </c>
      <c r="P182">
        <v>59</v>
      </c>
      <c r="Q182">
        <v>6</v>
      </c>
      <c r="R182">
        <v>3</v>
      </c>
      <c r="S182">
        <v>14</v>
      </c>
      <c r="T182">
        <v>17</v>
      </c>
      <c r="U182">
        <v>19</v>
      </c>
      <c r="V182">
        <v>1768614447600</v>
      </c>
    </row>
    <row r="183" spans="1:22" x14ac:dyDescent="0.25">
      <c r="A183" t="s">
        <v>379</v>
      </c>
      <c r="B183" t="s">
        <v>380</v>
      </c>
      <c r="C183">
        <v>1634896650000</v>
      </c>
      <c r="D183" t="str">
        <f t="shared" si="10"/>
        <v>1634896650.000</v>
      </c>
      <c r="E183" s="3">
        <f t="shared" si="11"/>
        <v>44491.414930555555</v>
      </c>
      <c r="F183" t="s">
        <v>405</v>
      </c>
      <c r="G183">
        <v>820</v>
      </c>
      <c r="H183">
        <v>24</v>
      </c>
      <c r="I183">
        <v>154</v>
      </c>
      <c r="J183">
        <v>190</v>
      </c>
      <c r="K183">
        <v>3443</v>
      </c>
      <c r="L183">
        <v>2.5099999999999998</v>
      </c>
      <c r="M183">
        <v>1273</v>
      </c>
      <c r="P183">
        <v>54</v>
      </c>
      <c r="Q183">
        <v>6</v>
      </c>
      <c r="R183">
        <v>3</v>
      </c>
      <c r="S183">
        <v>21</v>
      </c>
      <c r="T183">
        <v>7</v>
      </c>
      <c r="U183">
        <v>17</v>
      </c>
      <c r="V183">
        <v>1768614447626</v>
      </c>
    </row>
    <row r="184" spans="1:22" x14ac:dyDescent="0.25">
      <c r="A184" t="s">
        <v>381</v>
      </c>
      <c r="B184" t="s">
        <v>382</v>
      </c>
      <c r="C184">
        <v>1634768801000</v>
      </c>
      <c r="D184" t="str">
        <f t="shared" si="10"/>
        <v>1634768801.000</v>
      </c>
      <c r="E184" s="3">
        <f t="shared" si="11"/>
        <v>44489.935196759259</v>
      </c>
      <c r="F184" t="s">
        <v>405</v>
      </c>
      <c r="G184">
        <v>859</v>
      </c>
      <c r="H184">
        <v>31</v>
      </c>
      <c r="I184">
        <v>155</v>
      </c>
      <c r="J184">
        <v>184</v>
      </c>
      <c r="K184">
        <v>3595</v>
      </c>
      <c r="L184">
        <v>2.36</v>
      </c>
      <c r="M184">
        <v>1437</v>
      </c>
      <c r="P184">
        <v>54</v>
      </c>
      <c r="Q184">
        <v>2</v>
      </c>
      <c r="R184">
        <v>6</v>
      </c>
      <c r="S184">
        <v>15</v>
      </c>
      <c r="T184">
        <v>22</v>
      </c>
      <c r="U184">
        <v>9</v>
      </c>
      <c r="V184">
        <v>1768614447656</v>
      </c>
    </row>
    <row r="185" spans="1:22" x14ac:dyDescent="0.25">
      <c r="A185" t="s">
        <v>383</v>
      </c>
      <c r="B185" t="s">
        <v>384</v>
      </c>
      <c r="C185">
        <v>1634595934000</v>
      </c>
      <c r="D185" t="str">
        <f t="shared" si="10"/>
        <v>1634595934.000</v>
      </c>
      <c r="E185" s="3">
        <f t="shared" si="11"/>
        <v>44487.934421296297</v>
      </c>
      <c r="F185" t="s">
        <v>406</v>
      </c>
      <c r="G185">
        <v>744</v>
      </c>
      <c r="H185">
        <v>30</v>
      </c>
      <c r="I185">
        <v>144</v>
      </c>
      <c r="J185">
        <v>181</v>
      </c>
      <c r="K185">
        <v>3205</v>
      </c>
      <c r="L185">
        <v>1.65</v>
      </c>
      <c r="M185">
        <v>938</v>
      </c>
      <c r="P185">
        <v>54</v>
      </c>
      <c r="Q185">
        <v>12</v>
      </c>
      <c r="R185">
        <v>4</v>
      </c>
      <c r="S185">
        <v>8</v>
      </c>
      <c r="T185">
        <v>21</v>
      </c>
      <c r="U185">
        <v>9</v>
      </c>
      <c r="V185">
        <v>1768614447686</v>
      </c>
    </row>
    <row r="186" spans="1:22" x14ac:dyDescent="0.25">
      <c r="A186" t="s">
        <v>385</v>
      </c>
      <c r="B186" t="s">
        <v>386</v>
      </c>
      <c r="C186">
        <v>1634164146000</v>
      </c>
      <c r="D186" t="str">
        <f t="shared" si="10"/>
        <v>1634164146.000</v>
      </c>
      <c r="E186" s="3">
        <f t="shared" si="11"/>
        <v>44482.936874999999</v>
      </c>
      <c r="F186" t="s">
        <v>405</v>
      </c>
      <c r="G186">
        <v>831</v>
      </c>
      <c r="H186">
        <v>25</v>
      </c>
      <c r="I186">
        <v>150</v>
      </c>
      <c r="J186">
        <v>190</v>
      </c>
      <c r="K186">
        <v>4188</v>
      </c>
      <c r="L186">
        <v>2.71</v>
      </c>
      <c r="M186">
        <v>1535</v>
      </c>
      <c r="P186">
        <v>56</v>
      </c>
      <c r="Q186">
        <v>7</v>
      </c>
      <c r="R186">
        <v>6</v>
      </c>
      <c r="S186">
        <v>18</v>
      </c>
      <c r="T186">
        <v>10</v>
      </c>
      <c r="U186">
        <v>15</v>
      </c>
      <c r="V186">
        <v>1768614447714</v>
      </c>
    </row>
    <row r="187" spans="1:22" x14ac:dyDescent="0.25">
      <c r="A187" t="s">
        <v>387</v>
      </c>
      <c r="B187" t="s">
        <v>388</v>
      </c>
      <c r="C187">
        <v>1633991373000</v>
      </c>
      <c r="D187" t="str">
        <f t="shared" si="10"/>
        <v>1633991373.000</v>
      </c>
      <c r="E187" s="3">
        <f t="shared" si="11"/>
        <v>44480.9371875</v>
      </c>
      <c r="F187" t="s">
        <v>406</v>
      </c>
      <c r="G187">
        <v>882</v>
      </c>
      <c r="H187">
        <v>31</v>
      </c>
      <c r="I187">
        <v>155</v>
      </c>
      <c r="J187">
        <v>190</v>
      </c>
      <c r="K187">
        <v>2549</v>
      </c>
      <c r="L187">
        <v>1.34</v>
      </c>
      <c r="M187">
        <v>943</v>
      </c>
      <c r="P187">
        <v>58</v>
      </c>
      <c r="Q187">
        <v>4</v>
      </c>
      <c r="R187">
        <v>4</v>
      </c>
      <c r="S187">
        <v>19</v>
      </c>
      <c r="T187">
        <v>23</v>
      </c>
      <c r="U187">
        <v>8</v>
      </c>
      <c r="V187">
        <v>1768614447742</v>
      </c>
    </row>
    <row r="188" spans="1:22" x14ac:dyDescent="0.25">
      <c r="A188" t="s">
        <v>389</v>
      </c>
      <c r="B188" t="s">
        <v>390</v>
      </c>
      <c r="C188">
        <v>1633686925000</v>
      </c>
      <c r="D188" t="str">
        <f t="shared" si="10"/>
        <v>1633686925.000</v>
      </c>
      <c r="E188" s="3">
        <f t="shared" si="11"/>
        <v>44477.413483796292</v>
      </c>
      <c r="F188" t="s">
        <v>405</v>
      </c>
      <c r="G188">
        <v>803</v>
      </c>
      <c r="H188">
        <v>24</v>
      </c>
      <c r="I188">
        <v>151</v>
      </c>
      <c r="J188">
        <v>184</v>
      </c>
      <c r="K188">
        <v>3565</v>
      </c>
      <c r="L188">
        <v>1.65</v>
      </c>
      <c r="M188">
        <v>1011</v>
      </c>
      <c r="P188">
        <v>55</v>
      </c>
      <c r="Q188">
        <v>5</v>
      </c>
      <c r="R188">
        <v>5</v>
      </c>
      <c r="S188">
        <v>21</v>
      </c>
      <c r="T188">
        <v>16</v>
      </c>
      <c r="U188">
        <v>8</v>
      </c>
      <c r="V188">
        <v>1768614447796</v>
      </c>
    </row>
    <row r="189" spans="1:22" x14ac:dyDescent="0.25">
      <c r="A189" t="s">
        <v>391</v>
      </c>
      <c r="B189" t="s">
        <v>392</v>
      </c>
      <c r="C189">
        <v>1633559317000</v>
      </c>
      <c r="D189" t="str">
        <f t="shared" si="10"/>
        <v>1633559317.000</v>
      </c>
      <c r="E189" s="3">
        <f t="shared" si="11"/>
        <v>44475.936539351853</v>
      </c>
      <c r="F189" t="s">
        <v>405</v>
      </c>
      <c r="G189">
        <v>766</v>
      </c>
      <c r="H189">
        <v>27</v>
      </c>
      <c r="I189">
        <v>145</v>
      </c>
      <c r="J189">
        <v>186</v>
      </c>
      <c r="K189">
        <v>3195</v>
      </c>
      <c r="L189">
        <v>1.9</v>
      </c>
      <c r="M189">
        <v>1077</v>
      </c>
      <c r="P189">
        <v>55</v>
      </c>
      <c r="Q189">
        <v>13</v>
      </c>
      <c r="R189">
        <v>2</v>
      </c>
      <c r="S189">
        <v>13</v>
      </c>
      <c r="T189">
        <v>15</v>
      </c>
      <c r="U189">
        <v>12</v>
      </c>
      <c r="V189">
        <v>1768614447816</v>
      </c>
    </row>
    <row r="190" spans="1:22" x14ac:dyDescent="0.25">
      <c r="A190" t="s">
        <v>393</v>
      </c>
      <c r="B190" t="s">
        <v>394</v>
      </c>
      <c r="C190">
        <v>1632954797000</v>
      </c>
      <c r="D190" t="str">
        <f t="shared" si="10"/>
        <v>1632954797.000</v>
      </c>
      <c r="E190" s="3">
        <f t="shared" si="11"/>
        <v>44468.939780092594</v>
      </c>
      <c r="F190" t="s">
        <v>405</v>
      </c>
      <c r="G190">
        <v>670</v>
      </c>
      <c r="H190">
        <v>33</v>
      </c>
      <c r="I190">
        <v>152</v>
      </c>
      <c r="J190">
        <v>189</v>
      </c>
      <c r="K190">
        <v>3343</v>
      </c>
      <c r="L190">
        <v>1.71</v>
      </c>
      <c r="M190">
        <v>1124</v>
      </c>
      <c r="P190">
        <v>60</v>
      </c>
      <c r="Q190">
        <v>5</v>
      </c>
      <c r="R190">
        <v>10</v>
      </c>
      <c r="S190">
        <v>12</v>
      </c>
      <c r="T190">
        <v>19</v>
      </c>
      <c r="U190">
        <v>14</v>
      </c>
      <c r="V190">
        <v>1768614447836</v>
      </c>
    </row>
    <row r="191" spans="1:22" x14ac:dyDescent="0.25">
      <c r="A191" t="s">
        <v>395</v>
      </c>
      <c r="B191" t="s">
        <v>396</v>
      </c>
      <c r="C191">
        <v>1632781949000</v>
      </c>
      <c r="D191" t="str">
        <f t="shared" si="10"/>
        <v>1632781949.000</v>
      </c>
      <c r="E191" s="3">
        <f t="shared" si="11"/>
        <v>44466.93922453704</v>
      </c>
      <c r="F191" t="s">
        <v>406</v>
      </c>
      <c r="G191">
        <v>650</v>
      </c>
      <c r="H191">
        <v>30</v>
      </c>
      <c r="I191">
        <v>154</v>
      </c>
      <c r="J191">
        <v>191</v>
      </c>
      <c r="K191">
        <v>2878</v>
      </c>
      <c r="L191">
        <v>1.34</v>
      </c>
      <c r="M191">
        <v>850</v>
      </c>
      <c r="P191">
        <v>58</v>
      </c>
      <c r="Q191">
        <v>4</v>
      </c>
      <c r="R191">
        <v>5</v>
      </c>
      <c r="S191">
        <v>19</v>
      </c>
      <c r="T191">
        <v>22</v>
      </c>
      <c r="U191">
        <v>8</v>
      </c>
      <c r="V191">
        <v>1768614447858</v>
      </c>
    </row>
    <row r="192" spans="1:22" x14ac:dyDescent="0.25">
      <c r="A192" t="s">
        <v>397</v>
      </c>
      <c r="B192" t="s">
        <v>398</v>
      </c>
      <c r="C192">
        <v>1632177242000</v>
      </c>
      <c r="D192" t="str">
        <f t="shared" si="10"/>
        <v>1632177242.000</v>
      </c>
      <c r="E192" s="3">
        <f t="shared" si="11"/>
        <v>44459.940300925926</v>
      </c>
      <c r="F192" t="s">
        <v>406</v>
      </c>
      <c r="G192">
        <v>720</v>
      </c>
      <c r="H192">
        <v>38</v>
      </c>
      <c r="I192">
        <v>161</v>
      </c>
      <c r="J192">
        <v>189</v>
      </c>
      <c r="K192">
        <v>4282</v>
      </c>
      <c r="L192">
        <v>0.24</v>
      </c>
      <c r="M192">
        <v>172</v>
      </c>
      <c r="P192">
        <v>58</v>
      </c>
      <c r="Q192">
        <v>2</v>
      </c>
      <c r="R192">
        <v>3</v>
      </c>
      <c r="S192">
        <v>15</v>
      </c>
      <c r="T192">
        <v>23</v>
      </c>
      <c r="U192">
        <v>15</v>
      </c>
      <c r="V192">
        <v>1768614447876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81B02-05A6-4686-9A98-14705841A03D}">
  <dimension ref="A1:AO193"/>
  <sheetViews>
    <sheetView tabSelected="1" topLeftCell="A184" workbookViewId="0">
      <selection activeCell="G193" sqref="G193"/>
    </sheetView>
  </sheetViews>
  <sheetFormatPr defaultRowHeight="15" x14ac:dyDescent="0.25"/>
  <cols>
    <col min="2" max="2" width="17.5703125" customWidth="1"/>
    <col min="3" max="3" width="28.28515625" hidden="1" customWidth="1"/>
    <col min="4" max="4" width="15.140625" customWidth="1"/>
    <col min="5" max="5" width="13.7109375" hidden="1" customWidth="1"/>
    <col min="6" max="6" width="17.42578125" bestFit="1" customWidth="1"/>
    <col min="7" max="7" width="12.28515625" customWidth="1"/>
    <col min="8" max="8" width="11.7109375" customWidth="1"/>
    <col min="9" max="9" width="16.140625" customWidth="1"/>
    <col min="10" max="10" width="15.85546875" customWidth="1"/>
    <col min="11" max="11" width="16.42578125" customWidth="1"/>
    <col min="12" max="12" width="13" customWidth="1"/>
    <col min="13" max="13" width="15" customWidth="1"/>
    <col min="14" max="14" width="16.28515625" customWidth="1"/>
    <col min="16" max="16" width="18.85546875" customWidth="1"/>
    <col min="17" max="17" width="15.7109375" customWidth="1"/>
    <col min="18" max="18" width="20.140625" customWidth="1"/>
    <col min="19" max="19" width="20.7109375" customWidth="1"/>
    <col min="20" max="20" width="20.5703125" customWidth="1"/>
    <col min="21" max="21" width="21.140625" customWidth="1"/>
    <col min="22" max="22" width="18.7109375" customWidth="1"/>
    <col min="23" max="23" width="21.7109375" customWidth="1"/>
    <col min="24" max="24" width="19.5703125" customWidth="1"/>
    <col min="25" max="25" width="16.85546875" customWidth="1"/>
    <col min="26" max="26" width="13.7109375" customWidth="1"/>
    <col min="27" max="27" width="20.140625" customWidth="1"/>
    <col min="28" max="28" width="20.7109375" customWidth="1"/>
    <col min="29" max="29" width="18.140625" customWidth="1"/>
    <col min="30" max="30" width="18.7109375" customWidth="1"/>
    <col min="31" max="31" width="18" customWidth="1"/>
    <col min="32" max="32" width="21.85546875" customWidth="1"/>
    <col min="33" max="33" width="22.28515625" customWidth="1"/>
    <col min="34" max="34" width="15.85546875" customWidth="1"/>
    <col min="35" max="35" width="20.7109375" customWidth="1"/>
    <col min="36" max="36" width="20.5703125" customWidth="1"/>
    <col min="37" max="37" width="22.140625" customWidth="1"/>
    <col min="38" max="38" width="23" customWidth="1"/>
    <col min="39" max="39" width="20" customWidth="1"/>
    <col min="40" max="40" width="11.85546875" customWidth="1"/>
    <col min="41" max="41" width="12.5703125" customWidth="1"/>
  </cols>
  <sheetData>
    <row r="1" spans="1:41" x14ac:dyDescent="0.25">
      <c r="A1" t="s">
        <v>0</v>
      </c>
      <c r="B1" t="s">
        <v>1</v>
      </c>
      <c r="C1" t="s">
        <v>1050</v>
      </c>
      <c r="D1" t="s">
        <v>2</v>
      </c>
      <c r="E1" t="s">
        <v>399</v>
      </c>
      <c r="F1" t="s">
        <v>408</v>
      </c>
      <c r="G1" t="s">
        <v>407</v>
      </c>
      <c r="H1" t="s">
        <v>412</v>
      </c>
      <c r="I1" t="s">
        <v>413</v>
      </c>
      <c r="J1" t="s">
        <v>414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415</v>
      </c>
      <c r="S1" t="s">
        <v>416</v>
      </c>
      <c r="T1" t="s">
        <v>417</v>
      </c>
      <c r="U1" t="s">
        <v>418</v>
      </c>
      <c r="V1" t="s">
        <v>419</v>
      </c>
      <c r="W1" t="s">
        <v>420</v>
      </c>
      <c r="X1" t="s">
        <v>421</v>
      </c>
      <c r="Y1" t="s">
        <v>10</v>
      </c>
      <c r="Z1" t="s">
        <v>11</v>
      </c>
      <c r="AA1" t="s">
        <v>422</v>
      </c>
      <c r="AB1" t="s">
        <v>423</v>
      </c>
      <c r="AC1" t="s">
        <v>424</v>
      </c>
      <c r="AD1" t="s">
        <v>425</v>
      </c>
      <c r="AE1" t="s">
        <v>426</v>
      </c>
      <c r="AF1" t="s">
        <v>427</v>
      </c>
      <c r="AG1" t="s">
        <v>428</v>
      </c>
      <c r="AH1" t="s">
        <v>12</v>
      </c>
      <c r="AI1" t="s">
        <v>13</v>
      </c>
      <c r="AJ1" t="s">
        <v>14</v>
      </c>
      <c r="AK1" t="s">
        <v>15</v>
      </c>
      <c r="AL1" t="s">
        <v>16</v>
      </c>
      <c r="AM1" t="s">
        <v>17</v>
      </c>
      <c r="AN1" t="s">
        <v>18</v>
      </c>
      <c r="AO1" t="s">
        <v>429</v>
      </c>
    </row>
    <row r="2" spans="1:41" x14ac:dyDescent="0.25">
      <c r="A2" t="s">
        <v>500</v>
      </c>
      <c r="B2" t="s">
        <v>398</v>
      </c>
      <c r="C2" t="s">
        <v>501</v>
      </c>
      <c r="D2">
        <f>ROUND(
  (
    --SUBSTITUTE(LEFT(C2,19),"T"," ")
    - DATE(1970,1,1)
  ) * 86400000,
  0
)</f>
        <v>1632177242000</v>
      </c>
      <c r="E2" t="str">
        <f>LEFT(D2,10) &amp; "." &amp; RIGHT(D2,3)</f>
        <v>1632177242.000</v>
      </c>
      <c r="F2" s="3">
        <f>(((E2/60)/60)/24)+DATE(1970,1,1)</f>
        <v>44459.940300925926</v>
      </c>
      <c r="G2" t="str">
        <f>_xlfn.XLOOKUP(
  WorkoutData[[#This Row],[gmailMessageId]],
  WorkoutData_old[gmailMessageId],
  WorkoutData_old[WorkoutType]
)</f>
        <v>3G</v>
      </c>
      <c r="H2" s="4">
        <v>0.72916666666666663</v>
      </c>
      <c r="I2" t="s">
        <v>431</v>
      </c>
      <c r="J2" t="s">
        <v>432</v>
      </c>
      <c r="K2">
        <v>720</v>
      </c>
      <c r="L2">
        <v>38</v>
      </c>
      <c r="M2">
        <v>161</v>
      </c>
      <c r="N2">
        <v>189</v>
      </c>
      <c r="O2">
        <v>4282</v>
      </c>
      <c r="P2">
        <v>0.24</v>
      </c>
      <c r="Q2">
        <v>172</v>
      </c>
      <c r="R2">
        <v>5.6</v>
      </c>
      <c r="S2">
        <v>10</v>
      </c>
      <c r="T2">
        <v>0</v>
      </c>
      <c r="U2">
        <v>0</v>
      </c>
      <c r="V2">
        <v>647</v>
      </c>
      <c r="W2">
        <v>360</v>
      </c>
      <c r="X2">
        <v>0</v>
      </c>
      <c r="AH2">
        <v>58</v>
      </c>
      <c r="AI2">
        <v>2</v>
      </c>
      <c r="AJ2">
        <v>3</v>
      </c>
      <c r="AK2">
        <v>15</v>
      </c>
      <c r="AL2">
        <v>23</v>
      </c>
      <c r="AM2">
        <v>15</v>
      </c>
      <c r="AN2" t="s">
        <v>502</v>
      </c>
      <c r="AO2" t="s">
        <v>502</v>
      </c>
    </row>
    <row r="3" spans="1:41" x14ac:dyDescent="0.25">
      <c r="A3" t="s">
        <v>456</v>
      </c>
      <c r="B3" t="s">
        <v>396</v>
      </c>
      <c r="C3" t="s">
        <v>457</v>
      </c>
      <c r="D3">
        <f>ROUND(
  (
    --SUBSTITUTE(LEFT(C3,19),"T"," ")
    - DATE(1970,1,1)
  ) * 86400000,
  0
)</f>
        <v>1632781949000</v>
      </c>
      <c r="E3" t="str">
        <f>LEFT(D3,10) &amp; "." &amp; RIGHT(D3,3)</f>
        <v>1632781949.000</v>
      </c>
      <c r="F3" s="3">
        <f>(((E3/60)/60)/24)+DATE(1970,1,1)</f>
        <v>44466.93922453704</v>
      </c>
      <c r="G3" t="str">
        <f>_xlfn.XLOOKUP(
  WorkoutData[[#This Row],[gmailMessageId]],
  WorkoutData_old[gmailMessageId],
  WorkoutData_old[WorkoutType]
)</f>
        <v>3G</v>
      </c>
      <c r="H3" s="4">
        <v>0.72916666666666663</v>
      </c>
      <c r="I3" t="s">
        <v>431</v>
      </c>
      <c r="J3" t="s">
        <v>432</v>
      </c>
      <c r="K3">
        <v>650</v>
      </c>
      <c r="L3">
        <v>30</v>
      </c>
      <c r="M3">
        <v>154</v>
      </c>
      <c r="N3">
        <v>191</v>
      </c>
      <c r="O3">
        <v>2878</v>
      </c>
      <c r="P3">
        <v>1.34</v>
      </c>
      <c r="Q3">
        <v>850</v>
      </c>
      <c r="R3">
        <v>5.6</v>
      </c>
      <c r="S3">
        <v>9</v>
      </c>
      <c r="T3">
        <v>0.9</v>
      </c>
      <c r="U3">
        <v>1</v>
      </c>
      <c r="V3">
        <v>638</v>
      </c>
      <c r="W3">
        <v>400</v>
      </c>
      <c r="X3">
        <v>61</v>
      </c>
      <c r="AH3">
        <v>58</v>
      </c>
      <c r="AI3">
        <v>4</v>
      </c>
      <c r="AJ3">
        <v>5</v>
      </c>
      <c r="AK3">
        <v>19</v>
      </c>
      <c r="AL3">
        <v>22</v>
      </c>
      <c r="AM3">
        <v>8</v>
      </c>
      <c r="AN3" t="s">
        <v>458</v>
      </c>
      <c r="AO3" t="s">
        <v>458</v>
      </c>
    </row>
    <row r="4" spans="1:41" x14ac:dyDescent="0.25">
      <c r="A4" t="s">
        <v>474</v>
      </c>
      <c r="B4" t="s">
        <v>394</v>
      </c>
      <c r="C4" t="s">
        <v>475</v>
      </c>
      <c r="D4">
        <f>ROUND(
  (
    --SUBSTITUTE(LEFT(C4,19),"T"," ")
    - DATE(1970,1,1)
  ) * 86400000,
  0
)</f>
        <v>1632954797000</v>
      </c>
      <c r="E4" t="str">
        <f>LEFT(D4,10) &amp; "." &amp; RIGHT(D4,3)</f>
        <v>1632954797.000</v>
      </c>
      <c r="F4" s="3">
        <f>(((E4/60)/60)/24)+DATE(1970,1,1)</f>
        <v>44468.939780092594</v>
      </c>
      <c r="G4" t="str">
        <f>_xlfn.XLOOKUP(
  WorkoutData[[#This Row],[gmailMessageId]],
  WorkoutData_old[gmailMessageId],
  WorkoutData_old[WorkoutType]
)</f>
        <v>2G</v>
      </c>
      <c r="H4" s="4">
        <v>0.72916666666666663</v>
      </c>
      <c r="I4" t="s">
        <v>431</v>
      </c>
      <c r="J4" t="s">
        <v>476</v>
      </c>
      <c r="K4">
        <v>670</v>
      </c>
      <c r="L4">
        <v>33</v>
      </c>
      <c r="M4">
        <v>152</v>
      </c>
      <c r="N4">
        <v>189</v>
      </c>
      <c r="O4">
        <v>3343</v>
      </c>
      <c r="P4">
        <v>1.71</v>
      </c>
      <c r="Q4">
        <v>1124</v>
      </c>
      <c r="R4">
        <v>5.4</v>
      </c>
      <c r="S4">
        <v>7</v>
      </c>
      <c r="T4">
        <v>2.2999999999999998</v>
      </c>
      <c r="U4">
        <v>10</v>
      </c>
      <c r="V4">
        <v>669</v>
      </c>
      <c r="W4">
        <v>514</v>
      </c>
      <c r="X4">
        <v>209.78</v>
      </c>
      <c r="AH4">
        <v>60</v>
      </c>
      <c r="AI4">
        <v>5</v>
      </c>
      <c r="AJ4">
        <v>10</v>
      </c>
      <c r="AK4">
        <v>12</v>
      </c>
      <c r="AL4">
        <v>19</v>
      </c>
      <c r="AM4">
        <v>14</v>
      </c>
      <c r="AN4" t="s">
        <v>477</v>
      </c>
      <c r="AO4" t="s">
        <v>477</v>
      </c>
    </row>
    <row r="5" spans="1:41" x14ac:dyDescent="0.25">
      <c r="A5" t="s">
        <v>541</v>
      </c>
      <c r="B5" t="s">
        <v>392</v>
      </c>
      <c r="C5" t="s">
        <v>542</v>
      </c>
      <c r="D5">
        <f>ROUND(
  (
    --SUBSTITUTE(LEFT(C5,19),"T"," ")
    - DATE(1970,1,1)
  ) * 86400000,
  0
)</f>
        <v>1633559317000</v>
      </c>
      <c r="E5" t="str">
        <f>LEFT(D5,10) &amp; "." &amp; RIGHT(D5,3)</f>
        <v>1633559317.000</v>
      </c>
      <c r="F5" s="3">
        <f>(((E5/60)/60)/24)+DATE(1970,1,1)</f>
        <v>44475.936539351853</v>
      </c>
      <c r="G5" t="str">
        <f>_xlfn.XLOOKUP(
  WorkoutData[[#This Row],[gmailMessageId]],
  WorkoutData_old[gmailMessageId],
  WorkoutData_old[WorkoutType]
)</f>
        <v>2G</v>
      </c>
      <c r="H5" s="4">
        <v>0.72916666666666663</v>
      </c>
      <c r="I5" t="s">
        <v>431</v>
      </c>
      <c r="J5" t="s">
        <v>476</v>
      </c>
      <c r="K5">
        <v>766</v>
      </c>
      <c r="L5">
        <v>27</v>
      </c>
      <c r="M5">
        <v>145</v>
      </c>
      <c r="N5">
        <v>186</v>
      </c>
      <c r="O5">
        <v>3195</v>
      </c>
      <c r="P5">
        <v>1.9</v>
      </c>
      <c r="Q5">
        <v>1077</v>
      </c>
      <c r="R5">
        <v>4.8</v>
      </c>
      <c r="S5">
        <v>9</v>
      </c>
      <c r="T5">
        <v>0</v>
      </c>
      <c r="U5">
        <v>0</v>
      </c>
      <c r="V5">
        <v>748</v>
      </c>
      <c r="W5">
        <v>400</v>
      </c>
      <c r="X5">
        <v>0</v>
      </c>
      <c r="AH5">
        <v>55</v>
      </c>
      <c r="AI5">
        <v>13</v>
      </c>
      <c r="AJ5">
        <v>2</v>
      </c>
      <c r="AK5">
        <v>13</v>
      </c>
      <c r="AL5">
        <v>15</v>
      </c>
      <c r="AM5">
        <v>12</v>
      </c>
      <c r="AN5" t="s">
        <v>543</v>
      </c>
      <c r="AO5" t="s">
        <v>543</v>
      </c>
    </row>
    <row r="6" spans="1:41" x14ac:dyDescent="0.25">
      <c r="A6" t="s">
        <v>636</v>
      </c>
      <c r="B6" t="s">
        <v>390</v>
      </c>
      <c r="C6" t="s">
        <v>637</v>
      </c>
      <c r="D6">
        <f>ROUND(
  (
    --SUBSTITUTE(LEFT(C6,19),"T"," ")
    - DATE(1970,1,1)
  ) * 86400000,
  0
)</f>
        <v>1633686925000</v>
      </c>
      <c r="E6" t="str">
        <f>LEFT(D6,10) &amp; "." &amp; RIGHT(D6,3)</f>
        <v>1633686925.000</v>
      </c>
      <c r="F6" s="3">
        <f>(((E6/60)/60)/24)+DATE(1970,1,1)</f>
        <v>44477.413483796292</v>
      </c>
      <c r="G6" t="str">
        <f>_xlfn.XLOOKUP(
  WorkoutData[[#This Row],[gmailMessageId]],
  WorkoutData_old[gmailMessageId],
  WorkoutData_old[WorkoutType]
)</f>
        <v>2G</v>
      </c>
      <c r="H6" s="4">
        <v>0.20833333333333334</v>
      </c>
      <c r="I6" t="s">
        <v>431</v>
      </c>
      <c r="J6" t="s">
        <v>638</v>
      </c>
      <c r="K6">
        <v>803</v>
      </c>
      <c r="L6">
        <v>24</v>
      </c>
      <c r="M6">
        <v>151</v>
      </c>
      <c r="N6">
        <v>184</v>
      </c>
      <c r="O6">
        <v>3565</v>
      </c>
      <c r="P6">
        <v>1.65</v>
      </c>
      <c r="Q6">
        <v>1011</v>
      </c>
      <c r="R6">
        <v>5.9</v>
      </c>
      <c r="S6">
        <v>10</v>
      </c>
      <c r="T6">
        <v>0.9</v>
      </c>
      <c r="U6">
        <v>1</v>
      </c>
      <c r="V6">
        <v>612</v>
      </c>
      <c r="W6">
        <v>360</v>
      </c>
      <c r="X6">
        <v>81.53</v>
      </c>
      <c r="AH6">
        <v>55</v>
      </c>
      <c r="AI6">
        <v>5</v>
      </c>
      <c r="AJ6">
        <v>5</v>
      </c>
      <c r="AK6">
        <v>21</v>
      </c>
      <c r="AL6">
        <v>16</v>
      </c>
      <c r="AM6">
        <v>8</v>
      </c>
      <c r="AN6" t="s">
        <v>639</v>
      </c>
      <c r="AO6" t="s">
        <v>639</v>
      </c>
    </row>
    <row r="7" spans="1:41" x14ac:dyDescent="0.25">
      <c r="A7" t="s">
        <v>863</v>
      </c>
      <c r="B7" t="s">
        <v>388</v>
      </c>
      <c r="C7" t="s">
        <v>864</v>
      </c>
      <c r="D7">
        <f>ROUND(
  (
    --SUBSTITUTE(LEFT(C7,19),"T"," ")
    - DATE(1970,1,1)
  ) * 86400000,
  0
)</f>
        <v>1633991373000</v>
      </c>
      <c r="E7" t="str">
        <f>LEFT(D7,10) &amp; "." &amp; RIGHT(D7,3)</f>
        <v>1633991373.000</v>
      </c>
      <c r="F7" s="3">
        <f>(((E7/60)/60)/24)+DATE(1970,1,1)</f>
        <v>44480.9371875</v>
      </c>
      <c r="G7" t="str">
        <f>_xlfn.XLOOKUP(
  WorkoutData[[#This Row],[gmailMessageId]],
  WorkoutData_old[gmailMessageId],
  WorkoutData_old[WorkoutType]
)</f>
        <v>3G</v>
      </c>
      <c r="H7" s="4">
        <v>0.72916666666666663</v>
      </c>
      <c r="I7" t="s">
        <v>431</v>
      </c>
      <c r="J7" t="s">
        <v>432</v>
      </c>
      <c r="K7">
        <v>882</v>
      </c>
      <c r="L7">
        <v>31</v>
      </c>
      <c r="M7">
        <v>155</v>
      </c>
      <c r="N7">
        <v>190</v>
      </c>
      <c r="O7">
        <v>2549</v>
      </c>
      <c r="P7">
        <v>1.34</v>
      </c>
      <c r="Q7">
        <v>943</v>
      </c>
      <c r="R7">
        <v>5.0999999999999996</v>
      </c>
      <c r="S7">
        <v>9</v>
      </c>
      <c r="T7">
        <v>3</v>
      </c>
      <c r="U7">
        <v>9</v>
      </c>
      <c r="V7">
        <v>707</v>
      </c>
      <c r="W7">
        <v>400</v>
      </c>
      <c r="X7">
        <v>211.9</v>
      </c>
      <c r="AH7">
        <v>58</v>
      </c>
      <c r="AI7">
        <v>4</v>
      </c>
      <c r="AJ7">
        <v>4</v>
      </c>
      <c r="AK7">
        <v>19</v>
      </c>
      <c r="AL7">
        <v>23</v>
      </c>
      <c r="AM7">
        <v>8</v>
      </c>
      <c r="AN7" t="s">
        <v>865</v>
      </c>
      <c r="AO7" t="s">
        <v>865</v>
      </c>
    </row>
    <row r="8" spans="1:41" x14ac:dyDescent="0.25">
      <c r="A8" t="s">
        <v>670</v>
      </c>
      <c r="B8" t="s">
        <v>386</v>
      </c>
      <c r="C8" t="s">
        <v>671</v>
      </c>
      <c r="D8">
        <f>ROUND(
  (
    --SUBSTITUTE(LEFT(C8,19),"T"," ")
    - DATE(1970,1,1)
  ) * 86400000,
  0
)</f>
        <v>1634164146000</v>
      </c>
      <c r="E8" t="str">
        <f>LEFT(D8,10) &amp; "." &amp; RIGHT(D8,3)</f>
        <v>1634164146.000</v>
      </c>
      <c r="F8" s="3">
        <f>(((E8/60)/60)/24)+DATE(1970,1,1)</f>
        <v>44482.936874999999</v>
      </c>
      <c r="G8" t="str">
        <f>_xlfn.XLOOKUP(
  WorkoutData[[#This Row],[gmailMessageId]],
  WorkoutData_old[gmailMessageId],
  WorkoutData_old[WorkoutType]
)</f>
        <v>2G</v>
      </c>
      <c r="H8" s="4">
        <v>0.72916666666666663</v>
      </c>
      <c r="I8" t="s">
        <v>431</v>
      </c>
      <c r="J8" t="s">
        <v>672</v>
      </c>
      <c r="K8">
        <v>831</v>
      </c>
      <c r="L8">
        <v>25</v>
      </c>
      <c r="M8">
        <v>150</v>
      </c>
      <c r="N8">
        <v>190</v>
      </c>
      <c r="O8">
        <v>4188</v>
      </c>
      <c r="P8">
        <v>2.71</v>
      </c>
      <c r="Q8">
        <v>1535</v>
      </c>
      <c r="R8">
        <v>6.4</v>
      </c>
      <c r="S8">
        <v>11</v>
      </c>
      <c r="T8">
        <v>0.9</v>
      </c>
      <c r="U8">
        <v>4</v>
      </c>
      <c r="V8">
        <v>565</v>
      </c>
      <c r="W8">
        <v>327</v>
      </c>
      <c r="X8">
        <v>132.97</v>
      </c>
      <c r="AH8">
        <v>56</v>
      </c>
      <c r="AI8">
        <v>7</v>
      </c>
      <c r="AJ8">
        <v>6</v>
      </c>
      <c r="AK8">
        <v>18</v>
      </c>
      <c r="AL8">
        <v>10</v>
      </c>
      <c r="AM8">
        <v>15</v>
      </c>
      <c r="AN8" t="s">
        <v>673</v>
      </c>
      <c r="AO8" t="s">
        <v>673</v>
      </c>
    </row>
    <row r="9" spans="1:41" x14ac:dyDescent="0.25">
      <c r="A9" t="s">
        <v>526</v>
      </c>
      <c r="B9" t="s">
        <v>384</v>
      </c>
      <c r="C9" t="s">
        <v>527</v>
      </c>
      <c r="D9">
        <f>ROUND(
  (
    --SUBSTITUTE(LEFT(C9,19),"T"," ")
    - DATE(1970,1,1)
  ) * 86400000,
  0
)</f>
        <v>1634595934000</v>
      </c>
      <c r="E9" t="str">
        <f>LEFT(D9,10) &amp; "." &amp; RIGHT(D9,3)</f>
        <v>1634595934.000</v>
      </c>
      <c r="F9" s="3">
        <f>(((E9/60)/60)/24)+DATE(1970,1,1)</f>
        <v>44487.934421296297</v>
      </c>
      <c r="G9" t="str">
        <f>_xlfn.XLOOKUP(
  WorkoutData[[#This Row],[gmailMessageId]],
  WorkoutData_old[gmailMessageId],
  WorkoutData_old[WorkoutType]
)</f>
        <v>3G</v>
      </c>
      <c r="H9" s="4">
        <v>0.72916666666666663</v>
      </c>
      <c r="I9" t="s">
        <v>431</v>
      </c>
      <c r="J9" t="s">
        <v>432</v>
      </c>
      <c r="K9">
        <v>744</v>
      </c>
      <c r="L9">
        <v>30</v>
      </c>
      <c r="M9">
        <v>144</v>
      </c>
      <c r="N9">
        <v>181</v>
      </c>
      <c r="O9">
        <v>3205</v>
      </c>
      <c r="P9">
        <v>1.65</v>
      </c>
      <c r="Q9">
        <v>938</v>
      </c>
      <c r="R9">
        <v>6.4</v>
      </c>
      <c r="S9">
        <v>10</v>
      </c>
      <c r="T9">
        <v>0</v>
      </c>
      <c r="U9">
        <v>0</v>
      </c>
      <c r="V9">
        <v>561</v>
      </c>
      <c r="W9">
        <v>360</v>
      </c>
      <c r="X9">
        <v>0</v>
      </c>
      <c r="AH9">
        <v>54</v>
      </c>
      <c r="AI9">
        <v>12</v>
      </c>
      <c r="AJ9">
        <v>4</v>
      </c>
      <c r="AK9">
        <v>8</v>
      </c>
      <c r="AL9">
        <v>21</v>
      </c>
      <c r="AM9">
        <v>9</v>
      </c>
      <c r="AN9" t="s">
        <v>528</v>
      </c>
      <c r="AO9" t="s">
        <v>528</v>
      </c>
    </row>
    <row r="10" spans="1:41" x14ac:dyDescent="0.25">
      <c r="A10" t="s">
        <v>795</v>
      </c>
      <c r="B10" t="s">
        <v>382</v>
      </c>
      <c r="C10" t="s">
        <v>796</v>
      </c>
      <c r="D10">
        <f>ROUND(
  (
    --SUBSTITUTE(LEFT(C10,19),"T"," ")
    - DATE(1970,1,1)
  ) * 86400000,
  0
)</f>
        <v>1634768801000</v>
      </c>
      <c r="E10" t="str">
        <f>LEFT(D10,10) &amp; "." &amp; RIGHT(D10,3)</f>
        <v>1634768801.000</v>
      </c>
      <c r="F10" s="3">
        <f>(((E10/60)/60)/24)+DATE(1970,1,1)</f>
        <v>44489.935196759259</v>
      </c>
      <c r="G10" t="str">
        <f>_xlfn.XLOOKUP(
  WorkoutData[[#This Row],[gmailMessageId]],
  WorkoutData_old[gmailMessageId],
  WorkoutData_old[WorkoutType]
)</f>
        <v>2G</v>
      </c>
      <c r="H10" s="4">
        <v>0.72916666666666663</v>
      </c>
      <c r="I10" t="s">
        <v>431</v>
      </c>
      <c r="J10" t="s">
        <v>476</v>
      </c>
      <c r="K10">
        <v>859</v>
      </c>
      <c r="L10">
        <v>31</v>
      </c>
      <c r="M10">
        <v>155</v>
      </c>
      <c r="N10">
        <v>184</v>
      </c>
      <c r="O10">
        <v>3595</v>
      </c>
      <c r="P10">
        <v>2.36</v>
      </c>
      <c r="Q10">
        <v>1437</v>
      </c>
      <c r="R10">
        <v>6</v>
      </c>
      <c r="S10">
        <v>12</v>
      </c>
      <c r="T10">
        <v>0</v>
      </c>
      <c r="U10">
        <v>0</v>
      </c>
      <c r="V10">
        <v>603</v>
      </c>
      <c r="W10">
        <v>300</v>
      </c>
      <c r="X10">
        <v>0</v>
      </c>
      <c r="AH10">
        <v>54</v>
      </c>
      <c r="AI10">
        <v>2</v>
      </c>
      <c r="AJ10">
        <v>6</v>
      </c>
      <c r="AK10">
        <v>15</v>
      </c>
      <c r="AL10">
        <v>22</v>
      </c>
      <c r="AM10">
        <v>9</v>
      </c>
      <c r="AN10" t="s">
        <v>797</v>
      </c>
      <c r="AO10" t="s">
        <v>797</v>
      </c>
    </row>
    <row r="11" spans="1:41" x14ac:dyDescent="0.25">
      <c r="A11" t="s">
        <v>658</v>
      </c>
      <c r="B11" t="s">
        <v>380</v>
      </c>
      <c r="C11" t="s">
        <v>659</v>
      </c>
      <c r="D11">
        <f>ROUND(
  (
    --SUBSTITUTE(LEFT(C11,19),"T"," ")
    - DATE(1970,1,1)
  ) * 86400000,
  0
)</f>
        <v>1634896650000</v>
      </c>
      <c r="E11" t="str">
        <f>LEFT(D11,10) &amp; "." &amp; RIGHT(D11,3)</f>
        <v>1634896650.000</v>
      </c>
      <c r="F11" s="3">
        <f>(((E11/60)/60)/24)+DATE(1970,1,1)</f>
        <v>44491.414930555555</v>
      </c>
      <c r="G11" t="str">
        <f>_xlfn.XLOOKUP(
  WorkoutData[[#This Row],[gmailMessageId]],
  WorkoutData_old[gmailMessageId],
  WorkoutData_old[WorkoutType]
)</f>
        <v>2G</v>
      </c>
      <c r="H11" s="4">
        <v>0.20833333333333334</v>
      </c>
      <c r="I11" t="s">
        <v>431</v>
      </c>
      <c r="J11" t="s">
        <v>638</v>
      </c>
      <c r="K11">
        <v>820</v>
      </c>
      <c r="L11">
        <v>24</v>
      </c>
      <c r="M11">
        <v>154</v>
      </c>
      <c r="N11">
        <v>190</v>
      </c>
      <c r="O11">
        <v>3443</v>
      </c>
      <c r="P11">
        <v>2.5099999999999998</v>
      </c>
      <c r="Q11">
        <v>1273</v>
      </c>
      <c r="R11">
        <v>7.1</v>
      </c>
      <c r="S11">
        <v>11</v>
      </c>
      <c r="T11">
        <v>0.9</v>
      </c>
      <c r="U11">
        <v>1</v>
      </c>
      <c r="V11">
        <v>507</v>
      </c>
      <c r="W11">
        <v>327</v>
      </c>
      <c r="X11">
        <v>125.63</v>
      </c>
      <c r="AH11">
        <v>54</v>
      </c>
      <c r="AI11">
        <v>6</v>
      </c>
      <c r="AJ11">
        <v>3</v>
      </c>
      <c r="AK11">
        <v>21</v>
      </c>
      <c r="AL11">
        <v>7</v>
      </c>
      <c r="AM11">
        <v>17</v>
      </c>
      <c r="AN11" t="s">
        <v>660</v>
      </c>
      <c r="AO11" t="s">
        <v>660</v>
      </c>
    </row>
    <row r="12" spans="1:41" x14ac:dyDescent="0.25">
      <c r="A12" t="s">
        <v>893</v>
      </c>
      <c r="B12" t="s">
        <v>378</v>
      </c>
      <c r="C12" t="s">
        <v>894</v>
      </c>
      <c r="D12">
        <f>ROUND(
  (
    --SUBSTITUTE(LEFT(C12,19),"T"," ")
    - DATE(1970,1,1)
  ) * 86400000,
  0
)</f>
        <v>1635200923000</v>
      </c>
      <c r="E12" t="str">
        <f>LEFT(D12,10) &amp; "." &amp; RIGHT(D12,3)</f>
        <v>1635200923.000</v>
      </c>
      <c r="F12" s="3">
        <f>(((E12/60)/60)/24)+DATE(1970,1,1)</f>
        <v>44494.936608796299</v>
      </c>
      <c r="G12" t="str">
        <f>_xlfn.XLOOKUP(
  WorkoutData[[#This Row],[gmailMessageId]],
  WorkoutData_old[gmailMessageId],
  WorkoutData_old[WorkoutType]
)</f>
        <v>2G</v>
      </c>
      <c r="H12" s="4">
        <v>0.72916666666666663</v>
      </c>
      <c r="I12" t="s">
        <v>431</v>
      </c>
      <c r="J12" t="s">
        <v>432</v>
      </c>
      <c r="K12">
        <v>895</v>
      </c>
      <c r="L12">
        <v>36</v>
      </c>
      <c r="M12">
        <v>156</v>
      </c>
      <c r="N12">
        <v>187</v>
      </c>
      <c r="O12">
        <v>4263</v>
      </c>
      <c r="P12">
        <v>2.4900000000000002</v>
      </c>
      <c r="Q12">
        <v>1472</v>
      </c>
      <c r="R12">
        <v>6.1</v>
      </c>
      <c r="S12">
        <v>10</v>
      </c>
      <c r="T12">
        <v>2.2000000000000002</v>
      </c>
      <c r="U12">
        <v>10</v>
      </c>
      <c r="V12">
        <v>591</v>
      </c>
      <c r="W12">
        <v>360</v>
      </c>
      <c r="X12">
        <v>291.52999999999997</v>
      </c>
      <c r="AH12">
        <v>59</v>
      </c>
      <c r="AI12">
        <v>6</v>
      </c>
      <c r="AJ12">
        <v>3</v>
      </c>
      <c r="AK12">
        <v>14</v>
      </c>
      <c r="AL12">
        <v>17</v>
      </c>
      <c r="AM12">
        <v>19</v>
      </c>
      <c r="AN12" t="s">
        <v>895</v>
      </c>
      <c r="AO12" t="s">
        <v>895</v>
      </c>
    </row>
    <row r="13" spans="1:41" x14ac:dyDescent="0.25">
      <c r="A13" t="s">
        <v>583</v>
      </c>
      <c r="B13" t="s">
        <v>376</v>
      </c>
      <c r="C13" t="s">
        <v>584</v>
      </c>
      <c r="D13">
        <f>ROUND(
  (
    --SUBSTITUTE(LEFT(C13,19),"T"," ")
    - DATE(1970,1,1)
  ) * 86400000,
  0
)</f>
        <v>1635373820000</v>
      </c>
      <c r="E13" t="str">
        <f>LEFT(D13,10) &amp; "." &amp; RIGHT(D13,3)</f>
        <v>1635373820.000</v>
      </c>
      <c r="F13" s="3">
        <f>(((E13/60)/60)/24)+DATE(1970,1,1)</f>
        <v>44496.937731481477</v>
      </c>
      <c r="G13" t="str">
        <f>_xlfn.XLOOKUP(
  WorkoutData[[#This Row],[gmailMessageId]],
  WorkoutData_old[gmailMessageId],
  WorkoutData_old[WorkoutType]
)</f>
        <v>2G</v>
      </c>
      <c r="H13" s="4">
        <v>0.72916666666666663</v>
      </c>
      <c r="I13" t="s">
        <v>431</v>
      </c>
      <c r="J13" t="s">
        <v>476</v>
      </c>
      <c r="K13">
        <v>780</v>
      </c>
      <c r="L13">
        <v>22</v>
      </c>
      <c r="M13">
        <v>152</v>
      </c>
      <c r="N13">
        <v>185</v>
      </c>
      <c r="O13">
        <v>3031</v>
      </c>
      <c r="P13">
        <v>1.36</v>
      </c>
      <c r="Q13">
        <v>864</v>
      </c>
      <c r="R13">
        <v>5.6</v>
      </c>
      <c r="S13">
        <v>8</v>
      </c>
      <c r="T13">
        <v>7.8</v>
      </c>
      <c r="U13">
        <v>14</v>
      </c>
      <c r="V13">
        <v>642</v>
      </c>
      <c r="W13">
        <v>450</v>
      </c>
      <c r="X13">
        <v>556.29</v>
      </c>
      <c r="AH13">
        <v>53</v>
      </c>
      <c r="AI13">
        <v>5</v>
      </c>
      <c r="AJ13">
        <v>3</v>
      </c>
      <c r="AK13">
        <v>23</v>
      </c>
      <c r="AL13">
        <v>10</v>
      </c>
      <c r="AM13">
        <v>12</v>
      </c>
      <c r="AN13" t="s">
        <v>585</v>
      </c>
      <c r="AO13" t="s">
        <v>585</v>
      </c>
    </row>
    <row r="14" spans="1:41" x14ac:dyDescent="0.25">
      <c r="A14" t="s">
        <v>556</v>
      </c>
      <c r="B14" t="s">
        <v>374</v>
      </c>
      <c r="C14" t="s">
        <v>557</v>
      </c>
      <c r="D14">
        <f>ROUND(
  (
    --SUBSTITUTE(LEFT(C14,19),"T"," ")
    - DATE(1970,1,1)
  ) * 86400000,
  0
)</f>
        <v>1636760292000</v>
      </c>
      <c r="E14" t="str">
        <f>LEFT(D14,10) &amp; "." &amp; RIGHT(D14,3)</f>
        <v>1636760292.000</v>
      </c>
      <c r="F14" s="3">
        <f>(((E14/60)/60)/24)+DATE(1970,1,1)</f>
        <v>44512.984861111108</v>
      </c>
      <c r="G14" t="str">
        <f>_xlfn.XLOOKUP(
  WorkoutData[[#This Row],[gmailMessageId]],
  WorkoutData_old[gmailMessageId],
  WorkoutData_old[WorkoutType]
)</f>
        <v>2G</v>
      </c>
      <c r="H14" s="4">
        <v>0.72916666666666663</v>
      </c>
      <c r="I14" t="s">
        <v>431</v>
      </c>
      <c r="J14" t="s">
        <v>432</v>
      </c>
      <c r="K14">
        <v>769</v>
      </c>
      <c r="L14">
        <v>19</v>
      </c>
      <c r="M14">
        <v>145</v>
      </c>
      <c r="N14">
        <v>188</v>
      </c>
      <c r="O14">
        <v>3078</v>
      </c>
      <c r="P14">
        <v>1.77</v>
      </c>
      <c r="Q14">
        <v>1030</v>
      </c>
      <c r="R14">
        <v>6.1</v>
      </c>
      <c r="S14">
        <v>10</v>
      </c>
      <c r="T14">
        <v>3.7</v>
      </c>
      <c r="U14">
        <v>12</v>
      </c>
      <c r="V14">
        <v>586</v>
      </c>
      <c r="W14">
        <v>360</v>
      </c>
      <c r="X14">
        <v>347.31</v>
      </c>
      <c r="AH14">
        <v>56</v>
      </c>
      <c r="AI14">
        <v>8</v>
      </c>
      <c r="AJ14">
        <v>13</v>
      </c>
      <c r="AK14">
        <v>16</v>
      </c>
      <c r="AL14">
        <v>6</v>
      </c>
      <c r="AM14">
        <v>13</v>
      </c>
      <c r="AN14" t="s">
        <v>558</v>
      </c>
      <c r="AO14" t="s">
        <v>558</v>
      </c>
    </row>
    <row r="15" spans="1:41" x14ac:dyDescent="0.25">
      <c r="A15" t="s">
        <v>470</v>
      </c>
      <c r="B15" t="s">
        <v>372</v>
      </c>
      <c r="C15" t="s">
        <v>471</v>
      </c>
      <c r="D15">
        <f>ROUND(
  (
    --SUBSTITUTE(LEFT(C15,19),"T"," ")
    - DATE(1970,1,1)
  ) * 86400000,
  0
)</f>
        <v>1637189915000</v>
      </c>
      <c r="E15" t="str">
        <f>LEFT(D15,10) &amp; "." &amp; RIGHT(D15,3)</f>
        <v>1637189915.000</v>
      </c>
      <c r="F15" s="3">
        <f>(((E15/60)/60)/24)+DATE(1970,1,1)</f>
        <v>44517.957349537035</v>
      </c>
      <c r="G15" t="str">
        <f>_xlfn.XLOOKUP(
  WorkoutData[[#This Row],[gmailMessageId]],
  WorkoutData_old[gmailMessageId],
  WorkoutData_old[WorkoutType]
)</f>
        <v>2G</v>
      </c>
      <c r="H15" s="4">
        <v>0.70833333333333337</v>
      </c>
      <c r="I15" t="s">
        <v>433</v>
      </c>
      <c r="J15" t="s">
        <v>472</v>
      </c>
      <c r="K15">
        <v>668</v>
      </c>
      <c r="L15">
        <v>18</v>
      </c>
      <c r="M15">
        <v>133</v>
      </c>
      <c r="N15">
        <v>191</v>
      </c>
      <c r="O15">
        <v>2593</v>
      </c>
      <c r="P15">
        <v>1.71</v>
      </c>
      <c r="Q15">
        <v>926</v>
      </c>
      <c r="R15">
        <v>6.6</v>
      </c>
      <c r="S15">
        <v>8</v>
      </c>
      <c r="T15">
        <v>0.3</v>
      </c>
      <c r="U15">
        <v>1</v>
      </c>
      <c r="V15">
        <v>544</v>
      </c>
      <c r="W15">
        <v>450</v>
      </c>
      <c r="X15">
        <v>28.74</v>
      </c>
      <c r="AH15">
        <v>56</v>
      </c>
      <c r="AI15">
        <v>20</v>
      </c>
      <c r="AJ15">
        <v>5</v>
      </c>
      <c r="AK15">
        <v>13</v>
      </c>
      <c r="AL15">
        <v>7</v>
      </c>
      <c r="AM15">
        <v>11</v>
      </c>
      <c r="AN15" t="s">
        <v>473</v>
      </c>
      <c r="AO15" t="s">
        <v>473</v>
      </c>
    </row>
    <row r="16" spans="1:41" x14ac:dyDescent="0.25">
      <c r="A16" t="s">
        <v>697</v>
      </c>
      <c r="B16" t="s">
        <v>370</v>
      </c>
      <c r="C16" t="s">
        <v>698</v>
      </c>
      <c r="D16">
        <f>ROUND(
  (
    --SUBSTITUTE(LEFT(C16,19),"T"," ")
    - DATE(1970,1,1)
  ) * 86400000,
  0
)</f>
        <v>1637278187000</v>
      </c>
      <c r="E16" t="str">
        <f>LEFT(D16,10) &amp; "." &amp; RIGHT(D16,3)</f>
        <v>1637278187.000</v>
      </c>
      <c r="F16" s="3">
        <f>(((E16/60)/60)/24)+DATE(1970,1,1)</f>
        <v>44518.97901620371</v>
      </c>
      <c r="G16" t="str">
        <f>_xlfn.XLOOKUP(
  WorkoutData[[#This Row],[gmailMessageId]],
  WorkoutData_old[gmailMessageId],
  WorkoutData_old[WorkoutType]
)</f>
        <v>2G</v>
      </c>
      <c r="H16" s="4">
        <v>0.72916666666666663</v>
      </c>
      <c r="I16" t="s">
        <v>431</v>
      </c>
      <c r="J16" t="s">
        <v>638</v>
      </c>
      <c r="K16">
        <v>836</v>
      </c>
      <c r="L16">
        <v>25</v>
      </c>
      <c r="M16">
        <v>152</v>
      </c>
      <c r="N16">
        <v>189</v>
      </c>
      <c r="O16">
        <v>3988</v>
      </c>
      <c r="P16">
        <v>2.5299999999999998</v>
      </c>
      <c r="Q16">
        <v>1522</v>
      </c>
      <c r="R16">
        <v>6</v>
      </c>
      <c r="S16">
        <v>11</v>
      </c>
      <c r="T16">
        <v>2.4</v>
      </c>
      <c r="U16">
        <v>6</v>
      </c>
      <c r="V16">
        <v>600</v>
      </c>
      <c r="W16">
        <v>327</v>
      </c>
      <c r="X16">
        <v>321.81</v>
      </c>
      <c r="AH16">
        <v>56</v>
      </c>
      <c r="AI16">
        <v>6</v>
      </c>
      <c r="AJ16">
        <v>8</v>
      </c>
      <c r="AK16">
        <v>17</v>
      </c>
      <c r="AL16">
        <v>6</v>
      </c>
      <c r="AM16">
        <v>19</v>
      </c>
      <c r="AN16" t="s">
        <v>699</v>
      </c>
      <c r="AO16" t="s">
        <v>699</v>
      </c>
    </row>
    <row r="17" spans="1:41" x14ac:dyDescent="0.25">
      <c r="A17" t="s">
        <v>694</v>
      </c>
      <c r="B17" t="s">
        <v>368</v>
      </c>
      <c r="C17" t="s">
        <v>695</v>
      </c>
      <c r="D17">
        <f>ROUND(
  (
    --SUBSTITUTE(LEFT(C17,19),"T"," ")
    - DATE(1970,1,1)
  ) * 86400000,
  0
)</f>
        <v>1637623867000</v>
      </c>
      <c r="E17" t="str">
        <f>LEFT(D17,10) &amp; "." &amp; RIGHT(D17,3)</f>
        <v>1637623867.000</v>
      </c>
      <c r="F17" s="3">
        <f>(((E17/60)/60)/24)+DATE(1970,1,1)</f>
        <v>44522.979942129634</v>
      </c>
      <c r="G17" t="str">
        <f>_xlfn.XLOOKUP(
  WorkoutData[[#This Row],[gmailMessageId]],
  WorkoutData_old[gmailMessageId],
  WorkoutData_old[WorkoutType]
)</f>
        <v>3G</v>
      </c>
      <c r="H17" s="4">
        <v>0.72916666666666663</v>
      </c>
      <c r="I17" t="s">
        <v>431</v>
      </c>
      <c r="J17" t="s">
        <v>432</v>
      </c>
      <c r="K17">
        <v>836</v>
      </c>
      <c r="L17">
        <v>29</v>
      </c>
      <c r="M17">
        <v>149</v>
      </c>
      <c r="N17">
        <v>191</v>
      </c>
      <c r="O17">
        <v>3428</v>
      </c>
      <c r="P17">
        <v>0.22</v>
      </c>
      <c r="Q17">
        <v>136</v>
      </c>
      <c r="R17">
        <v>5.7</v>
      </c>
      <c r="S17">
        <v>9</v>
      </c>
      <c r="T17">
        <v>0</v>
      </c>
      <c r="U17">
        <v>0</v>
      </c>
      <c r="V17">
        <v>628</v>
      </c>
      <c r="W17">
        <v>400</v>
      </c>
      <c r="X17">
        <v>0</v>
      </c>
      <c r="AH17">
        <v>58</v>
      </c>
      <c r="AI17">
        <v>7</v>
      </c>
      <c r="AJ17">
        <v>6</v>
      </c>
      <c r="AK17">
        <v>16</v>
      </c>
      <c r="AL17">
        <v>17</v>
      </c>
      <c r="AM17">
        <v>12</v>
      </c>
      <c r="AN17" t="s">
        <v>696</v>
      </c>
      <c r="AO17" t="s">
        <v>696</v>
      </c>
    </row>
    <row r="18" spans="1:41" x14ac:dyDescent="0.25">
      <c r="A18" t="s">
        <v>829</v>
      </c>
      <c r="B18" t="s">
        <v>366</v>
      </c>
      <c r="C18" t="s">
        <v>830</v>
      </c>
      <c r="D18">
        <f>ROUND(
  (
    --SUBSTITUTE(LEFT(C18,19),"T"," ")
    - DATE(1970,1,1)
  ) * 86400000,
  0
)</f>
        <v>1638399365000</v>
      </c>
      <c r="E18" t="str">
        <f>LEFT(D18,10) &amp; "." &amp; RIGHT(D18,3)</f>
        <v>1638399365.000</v>
      </c>
      <c r="F18" s="3">
        <f>(((E18/60)/60)/24)+DATE(1970,1,1)</f>
        <v>44531.955613425926</v>
      </c>
      <c r="G18" t="str">
        <f>_xlfn.XLOOKUP(
  WorkoutData[[#This Row],[gmailMessageId]],
  WorkoutData_old[gmailMessageId],
  WorkoutData_old[WorkoutType]
)</f>
        <v>2G</v>
      </c>
      <c r="H18" s="4">
        <v>0.70833333333333337</v>
      </c>
      <c r="I18" t="s">
        <v>433</v>
      </c>
      <c r="J18" t="s">
        <v>472</v>
      </c>
      <c r="K18">
        <v>870</v>
      </c>
      <c r="L18">
        <v>32</v>
      </c>
      <c r="M18">
        <v>159</v>
      </c>
      <c r="N18">
        <v>188</v>
      </c>
      <c r="O18">
        <v>4048</v>
      </c>
      <c r="P18">
        <v>2.59</v>
      </c>
      <c r="Q18">
        <v>1484</v>
      </c>
      <c r="R18">
        <v>6.3</v>
      </c>
      <c r="S18">
        <v>10</v>
      </c>
      <c r="T18">
        <v>0.9</v>
      </c>
      <c r="U18">
        <v>1</v>
      </c>
      <c r="V18">
        <v>572</v>
      </c>
      <c r="W18">
        <v>360</v>
      </c>
      <c r="X18">
        <v>129.82</v>
      </c>
      <c r="AH18">
        <v>54</v>
      </c>
      <c r="AI18">
        <v>3</v>
      </c>
      <c r="AJ18">
        <v>4</v>
      </c>
      <c r="AK18">
        <v>15</v>
      </c>
      <c r="AL18">
        <v>16</v>
      </c>
      <c r="AM18">
        <v>16</v>
      </c>
      <c r="AN18" t="s">
        <v>831</v>
      </c>
      <c r="AO18" t="s">
        <v>831</v>
      </c>
    </row>
    <row r="19" spans="1:41" x14ac:dyDescent="0.25">
      <c r="A19" t="s">
        <v>980</v>
      </c>
      <c r="B19" t="s">
        <v>364</v>
      </c>
      <c r="C19" t="s">
        <v>981</v>
      </c>
      <c r="D19">
        <f>ROUND(
  (
    --SUBSTITUTE(LEFT(C19,19),"T"," ")
    - DATE(1970,1,1)
  ) * 86400000,
  0
)</f>
        <v>1638554542000</v>
      </c>
      <c r="E19" t="str">
        <f>LEFT(D19,10) &amp; "." &amp; RIGHT(D19,3)</f>
        <v>1638554542.000</v>
      </c>
      <c r="F19" s="3">
        <f>(((E19/60)/60)/24)+DATE(1970,1,1)</f>
        <v>44533.751643518524</v>
      </c>
      <c r="G19" t="str">
        <f>_xlfn.XLOOKUP(
  WorkoutData[[#This Row],[gmailMessageId]],
  WorkoutData_old[gmailMessageId],
  WorkoutData_old[WorkoutType]
)</f>
        <v>2G</v>
      </c>
      <c r="H19" s="4">
        <v>0.5</v>
      </c>
      <c r="I19" t="s">
        <v>431</v>
      </c>
      <c r="J19" t="s">
        <v>638</v>
      </c>
      <c r="K19">
        <v>933</v>
      </c>
      <c r="L19">
        <v>35</v>
      </c>
      <c r="M19">
        <v>158</v>
      </c>
      <c r="N19">
        <v>194</v>
      </c>
      <c r="O19">
        <v>3243</v>
      </c>
      <c r="P19">
        <v>1.57</v>
      </c>
      <c r="Q19">
        <v>780</v>
      </c>
      <c r="R19">
        <v>7.2</v>
      </c>
      <c r="S19">
        <v>11</v>
      </c>
      <c r="T19">
        <v>0.9</v>
      </c>
      <c r="U19">
        <v>1</v>
      </c>
      <c r="V19">
        <v>500</v>
      </c>
      <c r="W19">
        <v>327</v>
      </c>
      <c r="X19">
        <v>72.44</v>
      </c>
      <c r="AH19">
        <v>59</v>
      </c>
      <c r="AI19">
        <v>3</v>
      </c>
      <c r="AJ19">
        <v>5</v>
      </c>
      <c r="AK19">
        <v>16</v>
      </c>
      <c r="AL19">
        <v>22</v>
      </c>
      <c r="AM19">
        <v>13</v>
      </c>
      <c r="AN19" t="s">
        <v>982</v>
      </c>
      <c r="AO19" t="s">
        <v>982</v>
      </c>
    </row>
    <row r="20" spans="1:41" x14ac:dyDescent="0.25">
      <c r="A20" t="s">
        <v>983</v>
      </c>
      <c r="B20" t="s">
        <v>362</v>
      </c>
      <c r="C20" t="s">
        <v>984</v>
      </c>
      <c r="D20">
        <f>ROUND(
  (
    --SUBSTITUTE(LEFT(C20,19),"T"," ")
    - DATE(1970,1,1)
  ) * 86400000,
  0
)</f>
        <v>1639435410000</v>
      </c>
      <c r="E20" t="str">
        <f>LEFT(D20,10) &amp; "." &amp; RIGHT(D20,3)</f>
        <v>1639435410.000</v>
      </c>
      <c r="F20" s="3">
        <f>(((E20/60)/60)/24)+DATE(1970,1,1)</f>
        <v>44543.946874999994</v>
      </c>
      <c r="G20" t="str">
        <f>_xlfn.XLOOKUP(
  WorkoutData[[#This Row],[gmailMessageId]],
  WorkoutData_old[gmailMessageId],
  WorkoutData_old[WorkoutType]
)</f>
        <v>2G</v>
      </c>
      <c r="H20" s="4">
        <v>0.69791666666666663</v>
      </c>
      <c r="I20" t="s">
        <v>985</v>
      </c>
      <c r="J20" t="s">
        <v>986</v>
      </c>
      <c r="K20">
        <v>935</v>
      </c>
      <c r="L20">
        <v>41</v>
      </c>
      <c r="M20">
        <v>162</v>
      </c>
      <c r="N20">
        <v>194</v>
      </c>
      <c r="O20">
        <v>3213</v>
      </c>
      <c r="P20">
        <v>1.55</v>
      </c>
      <c r="Q20">
        <v>1001</v>
      </c>
      <c r="R20">
        <v>5.6</v>
      </c>
      <c r="S20">
        <v>9</v>
      </c>
      <c r="T20">
        <v>2.5</v>
      </c>
      <c r="U20">
        <v>9</v>
      </c>
      <c r="V20">
        <v>640</v>
      </c>
      <c r="W20">
        <v>400</v>
      </c>
      <c r="X20">
        <v>202.01</v>
      </c>
      <c r="AH20">
        <v>57</v>
      </c>
      <c r="AI20">
        <v>4</v>
      </c>
      <c r="AJ20">
        <v>4</v>
      </c>
      <c r="AK20">
        <v>8</v>
      </c>
      <c r="AL20">
        <v>22</v>
      </c>
      <c r="AM20">
        <v>19</v>
      </c>
      <c r="AN20" t="s">
        <v>987</v>
      </c>
      <c r="AO20" t="s">
        <v>987</v>
      </c>
    </row>
    <row r="21" spans="1:41" x14ac:dyDescent="0.25">
      <c r="A21" t="s">
        <v>804</v>
      </c>
      <c r="B21" t="s">
        <v>360</v>
      </c>
      <c r="C21" t="s">
        <v>805</v>
      </c>
      <c r="D21">
        <f>ROUND(
  (
    --SUBSTITUTE(LEFT(C21,19),"T"," ")
    - DATE(1970,1,1)
  ) * 86400000,
  0
)</f>
        <v>1639836817000</v>
      </c>
      <c r="E21" t="str">
        <f>LEFT(D21,10) &amp; "." &amp; RIGHT(D21,3)</f>
        <v>1639836817.000</v>
      </c>
      <c r="F21" s="3">
        <f>(((E21/60)/60)/24)+DATE(1970,1,1)</f>
        <v>44548.592789351853</v>
      </c>
      <c r="G21" t="str">
        <f>_xlfn.XLOOKUP(
  WorkoutData[[#This Row],[gmailMessageId]],
  WorkoutData_old[gmailMessageId],
  WorkoutData_old[WorkoutType]
)</f>
        <v>3G</v>
      </c>
      <c r="H21" s="4">
        <v>0.34375</v>
      </c>
      <c r="I21" t="s">
        <v>431</v>
      </c>
      <c r="J21" t="s">
        <v>638</v>
      </c>
      <c r="K21">
        <v>865</v>
      </c>
      <c r="L21">
        <v>29</v>
      </c>
      <c r="M21">
        <v>156</v>
      </c>
      <c r="N21">
        <v>192</v>
      </c>
      <c r="O21">
        <v>3607</v>
      </c>
      <c r="P21">
        <v>1.71</v>
      </c>
      <c r="Q21">
        <v>964</v>
      </c>
      <c r="R21">
        <v>6.4</v>
      </c>
      <c r="S21">
        <v>10</v>
      </c>
      <c r="T21">
        <v>1</v>
      </c>
      <c r="U21">
        <v>1</v>
      </c>
      <c r="V21">
        <v>562</v>
      </c>
      <c r="W21">
        <v>360</v>
      </c>
      <c r="X21">
        <v>86.5</v>
      </c>
      <c r="AH21">
        <v>55</v>
      </c>
      <c r="AI21">
        <v>3</v>
      </c>
      <c r="AJ21">
        <v>4</v>
      </c>
      <c r="AK21">
        <v>19</v>
      </c>
      <c r="AL21">
        <v>18</v>
      </c>
      <c r="AM21">
        <v>11</v>
      </c>
      <c r="AN21" t="s">
        <v>806</v>
      </c>
      <c r="AO21" t="s">
        <v>806</v>
      </c>
    </row>
    <row r="22" spans="1:41" x14ac:dyDescent="0.25">
      <c r="A22" t="s">
        <v>1000</v>
      </c>
      <c r="B22" t="s">
        <v>358</v>
      </c>
      <c r="C22" t="s">
        <v>1001</v>
      </c>
      <c r="D22">
        <f>ROUND(
  (
    --SUBSTITUTE(LEFT(C22,19),"T"," ")
    - DATE(1970,1,1)
  ) * 86400000,
  0
)</f>
        <v>1640041200000</v>
      </c>
      <c r="E22" t="str">
        <f>LEFT(D22,10) &amp; "." &amp; RIGHT(D22,3)</f>
        <v>1640041200.000</v>
      </c>
      <c r="F22" s="3">
        <f>(((E22/60)/60)/24)+DATE(1970,1,1)</f>
        <v>44550.958333333328</v>
      </c>
      <c r="G22" t="str">
        <f>_xlfn.XLOOKUP(
  WorkoutData[[#This Row],[gmailMessageId]],
  WorkoutData_old[gmailMessageId],
  WorkoutData_old[WorkoutType]
)</f>
        <v>2G</v>
      </c>
      <c r="H22" s="4">
        <v>0.70833333333333337</v>
      </c>
      <c r="I22" t="s">
        <v>433</v>
      </c>
      <c r="J22" t="s">
        <v>672</v>
      </c>
      <c r="K22">
        <v>941</v>
      </c>
      <c r="L22">
        <v>40</v>
      </c>
      <c r="M22">
        <v>158</v>
      </c>
      <c r="N22">
        <v>199</v>
      </c>
      <c r="O22">
        <v>3735</v>
      </c>
      <c r="P22">
        <v>2.04</v>
      </c>
      <c r="Q22">
        <v>972</v>
      </c>
      <c r="R22">
        <v>7.5</v>
      </c>
      <c r="S22">
        <v>11</v>
      </c>
      <c r="T22">
        <v>1</v>
      </c>
      <c r="U22">
        <v>1</v>
      </c>
      <c r="V22">
        <v>477</v>
      </c>
      <c r="W22">
        <v>327</v>
      </c>
      <c r="X22">
        <v>107.71</v>
      </c>
      <c r="AH22">
        <v>60</v>
      </c>
      <c r="AI22">
        <v>8</v>
      </c>
      <c r="AJ22">
        <v>6</v>
      </c>
      <c r="AK22">
        <v>6</v>
      </c>
      <c r="AL22">
        <v>15</v>
      </c>
      <c r="AM22">
        <v>25</v>
      </c>
      <c r="AN22" t="s">
        <v>1002</v>
      </c>
      <c r="AO22" t="s">
        <v>1002</v>
      </c>
    </row>
    <row r="23" spans="1:41" x14ac:dyDescent="0.25">
      <c r="A23" t="s">
        <v>851</v>
      </c>
      <c r="B23" t="s">
        <v>356</v>
      </c>
      <c r="C23" t="s">
        <v>852</v>
      </c>
      <c r="D23">
        <f>ROUND(
  (
    --SUBSTITUTE(LEFT(C23,19),"T"," ")
    - DATE(1970,1,1)
  ) * 86400000,
  0
)</f>
        <v>1640641386000</v>
      </c>
      <c r="E23" t="str">
        <f>LEFT(D23,10) &amp; "." &amp; RIGHT(D23,3)</f>
        <v>1640641386.000</v>
      </c>
      <c r="F23" s="3">
        <f>(((E23/60)/60)/24)+DATE(1970,1,1)</f>
        <v>44557.904930555553</v>
      </c>
      <c r="G23" t="str">
        <f>_xlfn.XLOOKUP(
  WorkoutData[[#This Row],[gmailMessageId]],
  WorkoutData_old[gmailMessageId],
  WorkoutData_old[WorkoutType]
)</f>
        <v>2G</v>
      </c>
      <c r="H23" s="4">
        <v>0.65625</v>
      </c>
      <c r="I23" t="s">
        <v>433</v>
      </c>
      <c r="J23" t="s">
        <v>472</v>
      </c>
      <c r="K23">
        <v>878</v>
      </c>
      <c r="L23">
        <v>31</v>
      </c>
      <c r="M23">
        <v>154</v>
      </c>
      <c r="N23">
        <v>186</v>
      </c>
      <c r="O23">
        <v>4446</v>
      </c>
      <c r="P23">
        <v>2.5099999999999998</v>
      </c>
      <c r="Q23">
        <v>1564</v>
      </c>
      <c r="R23">
        <v>5.8</v>
      </c>
      <c r="S23">
        <v>10</v>
      </c>
      <c r="T23">
        <v>2.1</v>
      </c>
      <c r="U23">
        <v>7</v>
      </c>
      <c r="V23">
        <v>621</v>
      </c>
      <c r="W23">
        <v>360</v>
      </c>
      <c r="X23">
        <v>277.67</v>
      </c>
      <c r="AH23">
        <v>57</v>
      </c>
      <c r="AI23">
        <v>7</v>
      </c>
      <c r="AJ23">
        <v>2</v>
      </c>
      <c r="AK23">
        <v>17</v>
      </c>
      <c r="AL23">
        <v>15</v>
      </c>
      <c r="AM23">
        <v>16</v>
      </c>
      <c r="AN23" t="s">
        <v>853</v>
      </c>
      <c r="AO23" t="s">
        <v>853</v>
      </c>
    </row>
    <row r="24" spans="1:41" x14ac:dyDescent="0.25">
      <c r="A24" t="s">
        <v>903</v>
      </c>
      <c r="B24" s="1" t="s">
        <v>354</v>
      </c>
      <c r="C24" t="s">
        <v>904</v>
      </c>
      <c r="D24">
        <f>ROUND(
  (
    --SUBSTITUTE(LEFT(C24,19),"T"," ")
    - DATE(1970,1,1)
  ) * 86400000,
  0
)</f>
        <v>1640816085000</v>
      </c>
      <c r="E24" t="str">
        <f>LEFT(D24,10) &amp; "." &amp; RIGHT(D24,3)</f>
        <v>1640816085.000</v>
      </c>
      <c r="F24" s="3">
        <f>(((E24/60)/60)/24)+DATE(1970,1,1)</f>
        <v>44559.926909722228</v>
      </c>
      <c r="G24" t="str">
        <f>_xlfn.XLOOKUP(
  WorkoutData[[#This Row],[gmailMessageId]],
  WorkoutData_old[gmailMessageId],
  WorkoutData_old[WorkoutType]
)</f>
        <v>2G</v>
      </c>
      <c r="H24" s="4">
        <v>0.67708333333333337</v>
      </c>
      <c r="I24" t="s">
        <v>431</v>
      </c>
      <c r="J24" t="s">
        <v>905</v>
      </c>
      <c r="K24">
        <v>900</v>
      </c>
      <c r="L24">
        <v>30</v>
      </c>
      <c r="M24">
        <v>153</v>
      </c>
      <c r="N24">
        <v>187</v>
      </c>
      <c r="O24">
        <v>4496</v>
      </c>
      <c r="P24">
        <v>2.65</v>
      </c>
      <c r="Q24">
        <v>1586</v>
      </c>
      <c r="R24">
        <v>6</v>
      </c>
      <c r="S24">
        <v>12</v>
      </c>
      <c r="T24">
        <v>2</v>
      </c>
      <c r="U24">
        <v>9</v>
      </c>
      <c r="V24">
        <v>598</v>
      </c>
      <c r="W24">
        <v>300</v>
      </c>
      <c r="X24">
        <v>279.19</v>
      </c>
      <c r="AH24">
        <v>59</v>
      </c>
      <c r="AI24">
        <v>5</v>
      </c>
      <c r="AJ24">
        <v>5</v>
      </c>
      <c r="AK24">
        <v>19</v>
      </c>
      <c r="AL24">
        <v>13</v>
      </c>
      <c r="AM24">
        <v>17</v>
      </c>
      <c r="AN24" t="s">
        <v>906</v>
      </c>
      <c r="AO24" t="s">
        <v>906</v>
      </c>
    </row>
    <row r="25" spans="1:41" x14ac:dyDescent="0.25">
      <c r="A25" t="s">
        <v>718</v>
      </c>
      <c r="B25" s="1" t="s">
        <v>352</v>
      </c>
      <c r="C25" t="s">
        <v>719</v>
      </c>
      <c r="D25">
        <f>ROUND(
  (
    --SUBSTITUTE(LEFT(C25,19),"T"," ")
    - DATE(1970,1,1)
  ) * 86400000,
  0
)</f>
        <v>1641232708000</v>
      </c>
      <c r="E25" t="str">
        <f>LEFT(D25,10) &amp; "." &amp; RIGHT(D25,3)</f>
        <v>1641232708.000</v>
      </c>
      <c r="F25" s="3">
        <f>(((E25/60)/60)/24)+DATE(1970,1,1)</f>
        <v>44564.748935185184</v>
      </c>
      <c r="G25" t="str">
        <f>_xlfn.XLOOKUP(
  WorkoutData[[#This Row],[gmailMessageId]],
  WorkoutData_old[gmailMessageId],
  WorkoutData_old[WorkoutType]
)</f>
        <v>2G</v>
      </c>
      <c r="H25" s="4">
        <v>0.5</v>
      </c>
      <c r="I25" t="s">
        <v>431</v>
      </c>
      <c r="J25" t="s">
        <v>720</v>
      </c>
      <c r="K25">
        <v>840</v>
      </c>
      <c r="L25">
        <v>30</v>
      </c>
      <c r="M25">
        <v>154</v>
      </c>
      <c r="N25">
        <v>185</v>
      </c>
      <c r="O25">
        <v>4212</v>
      </c>
      <c r="P25">
        <v>2.59</v>
      </c>
      <c r="Q25">
        <v>1503</v>
      </c>
      <c r="R25">
        <v>6.2</v>
      </c>
      <c r="S25">
        <v>12</v>
      </c>
      <c r="T25">
        <v>1</v>
      </c>
      <c r="U25">
        <v>1</v>
      </c>
      <c r="V25">
        <v>577</v>
      </c>
      <c r="W25">
        <v>300</v>
      </c>
      <c r="X25">
        <v>136.02000000000001</v>
      </c>
      <c r="AH25">
        <v>55</v>
      </c>
      <c r="AI25">
        <v>5</v>
      </c>
      <c r="AJ25">
        <v>4</v>
      </c>
      <c r="AK25">
        <v>16</v>
      </c>
      <c r="AL25">
        <v>18</v>
      </c>
      <c r="AM25">
        <v>12</v>
      </c>
      <c r="AN25" t="s">
        <v>721</v>
      </c>
      <c r="AO25" t="s">
        <v>721</v>
      </c>
    </row>
    <row r="26" spans="1:41" x14ac:dyDescent="0.25">
      <c r="A26" t="s">
        <v>836</v>
      </c>
      <c r="B26" t="s">
        <v>350</v>
      </c>
      <c r="C26" t="s">
        <v>837</v>
      </c>
      <c r="D26">
        <f>ROUND(
  (
    --SUBSTITUTE(LEFT(C26,19),"T"," ")
    - DATE(1970,1,1)
  ) * 86400000,
  0
)</f>
        <v>1641507196000</v>
      </c>
      <c r="E26" t="str">
        <f>LEFT(D26,10) &amp; "." &amp; RIGHT(D26,3)</f>
        <v>1641507196.000</v>
      </c>
      <c r="F26" s="3">
        <f>(((E26/60)/60)/24)+DATE(1970,1,1)</f>
        <v>44567.925879629634</v>
      </c>
      <c r="G26" t="str">
        <f>_xlfn.XLOOKUP(
  WorkoutData[[#This Row],[gmailMessageId]],
  WorkoutData_old[gmailMessageId],
  WorkoutData_old[WorkoutType]
)</f>
        <v>2G</v>
      </c>
      <c r="H26" s="4">
        <v>0.67708333333333337</v>
      </c>
      <c r="I26" t="s">
        <v>431</v>
      </c>
      <c r="J26" t="s">
        <v>638</v>
      </c>
      <c r="K26">
        <v>872</v>
      </c>
      <c r="L26">
        <v>28</v>
      </c>
      <c r="M26">
        <v>157</v>
      </c>
      <c r="N26">
        <v>192</v>
      </c>
      <c r="O26">
        <v>4140</v>
      </c>
      <c r="P26">
        <v>2.71</v>
      </c>
      <c r="Q26">
        <v>1507</v>
      </c>
      <c r="R26">
        <v>6.5</v>
      </c>
      <c r="S26">
        <v>12</v>
      </c>
      <c r="T26">
        <v>2</v>
      </c>
      <c r="U26">
        <v>8</v>
      </c>
      <c r="V26">
        <v>557</v>
      </c>
      <c r="W26">
        <v>300</v>
      </c>
      <c r="X26">
        <v>286.36</v>
      </c>
      <c r="AH26">
        <v>55</v>
      </c>
      <c r="AI26">
        <v>4</v>
      </c>
      <c r="AJ26">
        <v>2</v>
      </c>
      <c r="AK26">
        <v>21</v>
      </c>
      <c r="AL26">
        <v>9</v>
      </c>
      <c r="AM26">
        <v>19</v>
      </c>
      <c r="AN26" t="s">
        <v>838</v>
      </c>
      <c r="AO26" t="s">
        <v>838</v>
      </c>
    </row>
    <row r="27" spans="1:41" x14ac:dyDescent="0.25">
      <c r="A27" t="s">
        <v>1003</v>
      </c>
      <c r="B27" s="1" t="s">
        <v>348</v>
      </c>
      <c r="C27" t="s">
        <v>1004</v>
      </c>
      <c r="D27">
        <f>ROUND(
  (
    --SUBSTITUTE(LEFT(C27,19),"T"," ")
    - DATE(1970,1,1)
  ) * 86400000,
  0
)</f>
        <v>1641852821000</v>
      </c>
      <c r="E27" t="str">
        <f>LEFT(D27,10) &amp; "." &amp; RIGHT(D27,3)</f>
        <v>1641852821.000</v>
      </c>
      <c r="F27" s="3">
        <f>(((E27/60)/60)/24)+DATE(1970,1,1)</f>
        <v>44571.926168981481</v>
      </c>
      <c r="G27" t="str">
        <f>_xlfn.XLOOKUP(
  WorkoutData[[#This Row],[gmailMessageId]],
  WorkoutData_old[gmailMessageId],
  WorkoutData_old[WorkoutType]
)</f>
        <v>2G</v>
      </c>
      <c r="H27" s="4">
        <v>0.67708333333333337</v>
      </c>
      <c r="I27" t="s">
        <v>433</v>
      </c>
      <c r="J27" t="s">
        <v>546</v>
      </c>
      <c r="K27">
        <v>943</v>
      </c>
      <c r="L27">
        <v>34</v>
      </c>
      <c r="M27">
        <v>160</v>
      </c>
      <c r="N27">
        <v>188</v>
      </c>
      <c r="O27">
        <v>4032</v>
      </c>
      <c r="P27">
        <v>2.63</v>
      </c>
      <c r="Q27">
        <v>1559</v>
      </c>
      <c r="R27">
        <v>6.1</v>
      </c>
      <c r="S27">
        <v>12</v>
      </c>
      <c r="T27">
        <v>2</v>
      </c>
      <c r="U27">
        <v>5</v>
      </c>
      <c r="V27">
        <v>592</v>
      </c>
      <c r="W27">
        <v>300</v>
      </c>
      <c r="X27">
        <v>276.33</v>
      </c>
      <c r="AH27">
        <v>58</v>
      </c>
      <c r="AI27">
        <v>2</v>
      </c>
      <c r="AJ27">
        <v>4</v>
      </c>
      <c r="AK27">
        <v>18</v>
      </c>
      <c r="AL27">
        <v>15</v>
      </c>
      <c r="AM27">
        <v>19</v>
      </c>
      <c r="AN27" t="s">
        <v>1005</v>
      </c>
      <c r="AO27" t="s">
        <v>1005</v>
      </c>
    </row>
    <row r="28" spans="1:41" x14ac:dyDescent="0.25">
      <c r="A28" t="s">
        <v>652</v>
      </c>
      <c r="B28" s="1" t="s">
        <v>346</v>
      </c>
      <c r="C28" t="s">
        <v>653</v>
      </c>
      <c r="D28">
        <f>ROUND(
  (
    --SUBSTITUTE(LEFT(C28,19),"T"," ")
    - DATE(1970,1,1)
  ) * 86400000,
  0
)</f>
        <v>1642029945000</v>
      </c>
      <c r="E28" t="str">
        <f>LEFT(D28,10) &amp; "." &amp; RIGHT(D28,3)</f>
        <v>1642029945.000</v>
      </c>
      <c r="F28" s="3">
        <f>(((E28/60)/60)/24)+DATE(1970,1,1)</f>
        <v>44573.976215277777</v>
      </c>
      <c r="G28" t="str">
        <f>_xlfn.XLOOKUP(
  WorkoutData[[#This Row],[gmailMessageId]],
  WorkoutData_old[gmailMessageId],
  WorkoutData_old[WorkoutType]
)</f>
        <v>2G</v>
      </c>
      <c r="H28" s="4">
        <v>0.72916666666666663</v>
      </c>
      <c r="I28" t="s">
        <v>431</v>
      </c>
      <c r="J28" t="s">
        <v>476</v>
      </c>
      <c r="K28">
        <v>813</v>
      </c>
      <c r="L28">
        <v>24</v>
      </c>
      <c r="M28">
        <v>151</v>
      </c>
      <c r="N28">
        <v>185</v>
      </c>
      <c r="O28">
        <v>3182</v>
      </c>
      <c r="P28">
        <v>1.5</v>
      </c>
      <c r="Q28">
        <v>884</v>
      </c>
      <c r="R28">
        <v>6.1</v>
      </c>
      <c r="S28">
        <v>12</v>
      </c>
      <c r="T28">
        <v>2.9</v>
      </c>
      <c r="U28">
        <v>5</v>
      </c>
      <c r="V28">
        <v>592</v>
      </c>
      <c r="W28">
        <v>300</v>
      </c>
      <c r="X28">
        <v>228.47</v>
      </c>
      <c r="AH28">
        <v>53</v>
      </c>
      <c r="AI28">
        <v>3</v>
      </c>
      <c r="AJ28">
        <v>6</v>
      </c>
      <c r="AK28">
        <v>20</v>
      </c>
      <c r="AL28">
        <v>15</v>
      </c>
      <c r="AM28">
        <v>9</v>
      </c>
      <c r="AN28" t="s">
        <v>654</v>
      </c>
      <c r="AO28" t="s">
        <v>654</v>
      </c>
    </row>
    <row r="29" spans="1:41" x14ac:dyDescent="0.25">
      <c r="A29" t="s">
        <v>1044</v>
      </c>
      <c r="B29" t="s">
        <v>344</v>
      </c>
      <c r="C29" t="s">
        <v>1045</v>
      </c>
      <c r="D29">
        <f>ROUND(
  (
    --SUBSTITUTE(LEFT(C29,19),"T"," ")
    - DATE(1970,1,1)
  ) * 86400000,
  0
)</f>
        <v>1642198441000</v>
      </c>
      <c r="E29" t="str">
        <f>LEFT(D29,10) &amp; "." &amp; RIGHT(D29,3)</f>
        <v>1642198441.000</v>
      </c>
      <c r="F29" s="3">
        <f>(((E29/60)/60)/24)+DATE(1970,1,1)</f>
        <v>44575.926400462966</v>
      </c>
      <c r="G29" t="str">
        <f>_xlfn.XLOOKUP(
  WorkoutData[[#This Row],[gmailMessageId]],
  WorkoutData_old[gmailMessageId],
  WorkoutData_old[WorkoutType]
)</f>
        <v>2G</v>
      </c>
      <c r="H29" s="4">
        <v>0.67708333333333337</v>
      </c>
      <c r="I29" t="s">
        <v>433</v>
      </c>
      <c r="J29" t="s">
        <v>672</v>
      </c>
      <c r="K29">
        <v>1000</v>
      </c>
      <c r="L29">
        <v>43</v>
      </c>
      <c r="M29">
        <v>167</v>
      </c>
      <c r="N29">
        <v>195</v>
      </c>
      <c r="O29">
        <v>3945</v>
      </c>
      <c r="P29">
        <v>2.93</v>
      </c>
      <c r="Q29">
        <v>1592</v>
      </c>
      <c r="R29">
        <v>6.6</v>
      </c>
      <c r="S29">
        <v>12</v>
      </c>
      <c r="T29">
        <v>1.9</v>
      </c>
      <c r="U29">
        <v>6</v>
      </c>
      <c r="V29">
        <v>542</v>
      </c>
      <c r="W29">
        <v>300</v>
      </c>
      <c r="X29">
        <v>287.20999999999998</v>
      </c>
      <c r="AH29">
        <v>58</v>
      </c>
      <c r="AI29">
        <v>1</v>
      </c>
      <c r="AJ29">
        <v>5</v>
      </c>
      <c r="AK29">
        <v>9</v>
      </c>
      <c r="AL29">
        <v>19</v>
      </c>
      <c r="AM29">
        <v>24</v>
      </c>
      <c r="AN29" t="s">
        <v>1046</v>
      </c>
      <c r="AO29" t="s">
        <v>1046</v>
      </c>
    </row>
    <row r="30" spans="1:41" x14ac:dyDescent="0.25">
      <c r="A30" t="s">
        <v>923</v>
      </c>
      <c r="B30" t="s">
        <v>342</v>
      </c>
      <c r="C30" t="s">
        <v>924</v>
      </c>
      <c r="D30">
        <f>ROUND(
  (
    --SUBSTITUTE(LEFT(C30,19),"T"," ")
    - DATE(1970,1,1)
  ) * 86400000,
  0
)</f>
        <v>1643066958000</v>
      </c>
      <c r="E30" t="str">
        <f>LEFT(D30,10) &amp; "." &amp; RIGHT(D30,3)</f>
        <v>1643066958.000</v>
      </c>
      <c r="F30" s="3">
        <f>(((E30/60)/60)/24)+DATE(1970,1,1)</f>
        <v>44585.978680555556</v>
      </c>
      <c r="G30" t="str">
        <f>_xlfn.XLOOKUP(
  WorkoutData[[#This Row],[gmailMessageId]],
  WorkoutData_old[gmailMessageId],
  WorkoutData_old[WorkoutType]
)</f>
        <v>3G</v>
      </c>
      <c r="H30" s="4">
        <v>0.72916666666666663</v>
      </c>
      <c r="I30" t="s">
        <v>431</v>
      </c>
      <c r="J30" t="s">
        <v>432</v>
      </c>
      <c r="K30">
        <v>908</v>
      </c>
      <c r="L30">
        <v>35</v>
      </c>
      <c r="M30">
        <v>156</v>
      </c>
      <c r="N30">
        <v>192</v>
      </c>
      <c r="O30">
        <v>3702</v>
      </c>
      <c r="P30">
        <v>1.87</v>
      </c>
      <c r="Q30">
        <v>995</v>
      </c>
      <c r="R30">
        <v>6.8</v>
      </c>
      <c r="S30">
        <v>11</v>
      </c>
      <c r="T30">
        <v>1</v>
      </c>
      <c r="U30">
        <v>1</v>
      </c>
      <c r="V30">
        <v>532</v>
      </c>
      <c r="W30">
        <v>327</v>
      </c>
      <c r="X30">
        <v>95.64</v>
      </c>
      <c r="AH30">
        <v>57</v>
      </c>
      <c r="AI30">
        <v>5</v>
      </c>
      <c r="AJ30">
        <v>3</v>
      </c>
      <c r="AK30">
        <v>14</v>
      </c>
      <c r="AL30">
        <v>20</v>
      </c>
      <c r="AM30">
        <v>15</v>
      </c>
      <c r="AN30" t="s">
        <v>925</v>
      </c>
      <c r="AO30" t="s">
        <v>925</v>
      </c>
    </row>
    <row r="31" spans="1:41" x14ac:dyDescent="0.25">
      <c r="A31" t="s">
        <v>580</v>
      </c>
      <c r="B31" t="s">
        <v>340</v>
      </c>
      <c r="C31" t="s">
        <v>581</v>
      </c>
      <c r="D31">
        <f>ROUND(
  (
    --SUBSTITUTE(LEFT(C31,19),"T"," ")
    - DATE(1970,1,1)
  ) * 86400000,
  0
)</f>
        <v>1643239722000</v>
      </c>
      <c r="E31" t="str">
        <f>LEFT(D31,10) &amp; "." &amp; RIGHT(D31,3)</f>
        <v>1643239722.000</v>
      </c>
      <c r="F31" s="3">
        <f>(((E31/60)/60)/24)+DATE(1970,1,1)</f>
        <v>44587.978263888886</v>
      </c>
      <c r="G31" t="str">
        <f>_xlfn.XLOOKUP(
  WorkoutData[[#This Row],[gmailMessageId]],
  WorkoutData_old[gmailMessageId],
  WorkoutData_old[WorkoutType]
)</f>
        <v>2G</v>
      </c>
      <c r="H31" s="4">
        <v>0.72916666666666663</v>
      </c>
      <c r="I31" t="s">
        <v>431</v>
      </c>
      <c r="J31" t="s">
        <v>476</v>
      </c>
      <c r="K31">
        <v>780</v>
      </c>
      <c r="L31">
        <v>24</v>
      </c>
      <c r="M31">
        <v>147</v>
      </c>
      <c r="N31">
        <v>190</v>
      </c>
      <c r="O31">
        <v>3191</v>
      </c>
      <c r="P31">
        <v>1.7</v>
      </c>
      <c r="Q31">
        <v>934</v>
      </c>
      <c r="R31">
        <v>6.5</v>
      </c>
      <c r="S31">
        <v>12</v>
      </c>
      <c r="T31">
        <v>0</v>
      </c>
      <c r="U31">
        <v>0</v>
      </c>
      <c r="V31">
        <v>554</v>
      </c>
      <c r="W31">
        <v>300</v>
      </c>
      <c r="X31">
        <v>0</v>
      </c>
      <c r="AH31">
        <v>55</v>
      </c>
      <c r="AI31">
        <v>9</v>
      </c>
      <c r="AJ31">
        <v>6</v>
      </c>
      <c r="AK31">
        <v>16</v>
      </c>
      <c r="AL31">
        <v>14</v>
      </c>
      <c r="AM31">
        <v>10</v>
      </c>
      <c r="AN31" t="s">
        <v>582</v>
      </c>
      <c r="AO31" t="s">
        <v>582</v>
      </c>
    </row>
    <row r="32" spans="1:41" x14ac:dyDescent="0.25">
      <c r="A32" t="s">
        <v>1017</v>
      </c>
      <c r="B32" t="s">
        <v>338</v>
      </c>
      <c r="C32" t="s">
        <v>1018</v>
      </c>
      <c r="D32">
        <f>ROUND(
  (
    --SUBSTITUTE(LEFT(C32,19),"T"," ")
    - DATE(1970,1,1)
  ) * 86400000,
  0
)</f>
        <v>1643667247000</v>
      </c>
      <c r="E32" t="str">
        <f>LEFT(D32,10) &amp; "." &amp; RIGHT(D32,3)</f>
        <v>1643667247.000</v>
      </c>
      <c r="F32" s="3">
        <f>(((E32/60)/60)/24)+DATE(1970,1,1)</f>
        <v>44592.926469907412</v>
      </c>
      <c r="G32" t="str">
        <f>_xlfn.XLOOKUP(
  WorkoutData[[#This Row],[gmailMessageId]],
  WorkoutData_old[gmailMessageId],
  WorkoutData_old[WorkoutType]
)</f>
        <v>2G</v>
      </c>
      <c r="H32" s="4">
        <v>0.67708333333333337</v>
      </c>
      <c r="I32" t="s">
        <v>433</v>
      </c>
      <c r="J32" t="s">
        <v>546</v>
      </c>
      <c r="K32">
        <v>952</v>
      </c>
      <c r="L32">
        <v>37</v>
      </c>
      <c r="M32">
        <v>162</v>
      </c>
      <c r="N32">
        <v>193</v>
      </c>
      <c r="O32">
        <v>3283</v>
      </c>
      <c r="P32">
        <v>1.77</v>
      </c>
      <c r="Q32">
        <v>801</v>
      </c>
      <c r="R32">
        <v>7.9</v>
      </c>
      <c r="S32">
        <v>11</v>
      </c>
      <c r="T32">
        <v>0</v>
      </c>
      <c r="U32">
        <v>0</v>
      </c>
      <c r="V32">
        <v>457</v>
      </c>
      <c r="W32">
        <v>327</v>
      </c>
      <c r="X32">
        <v>0</v>
      </c>
      <c r="AH32">
        <v>58</v>
      </c>
      <c r="AI32">
        <v>2</v>
      </c>
      <c r="AJ32">
        <v>4</v>
      </c>
      <c r="AK32">
        <v>15</v>
      </c>
      <c r="AL32">
        <v>19</v>
      </c>
      <c r="AM32">
        <v>18</v>
      </c>
      <c r="AN32" t="s">
        <v>1019</v>
      </c>
      <c r="AO32" t="s">
        <v>1019</v>
      </c>
    </row>
    <row r="33" spans="1:41" x14ac:dyDescent="0.25">
      <c r="A33" t="s">
        <v>725</v>
      </c>
      <c r="B33" t="s">
        <v>336</v>
      </c>
      <c r="C33" t="s">
        <v>726</v>
      </c>
      <c r="D33">
        <f>ROUND(
  (
    --SUBSTITUTE(LEFT(C33,19),"T"," ")
    - DATE(1970,1,1)
  ) * 86400000,
  0
)</f>
        <v>1643840030000</v>
      </c>
      <c r="E33" t="str">
        <f>LEFT(D33,10) &amp; "." &amp; RIGHT(D33,3)</f>
        <v>1643840030.000</v>
      </c>
      <c r="F33" s="3">
        <f>(((E33/60)/60)/24)+DATE(1970,1,1)</f>
        <v>44594.926273148143</v>
      </c>
      <c r="G33" t="str">
        <f>_xlfn.XLOOKUP(
  WorkoutData[[#This Row],[gmailMessageId]],
  WorkoutData_old[gmailMessageId],
  WorkoutData_old[WorkoutType]
)</f>
        <v>2G</v>
      </c>
      <c r="H33" s="4">
        <v>0.67708333333333337</v>
      </c>
      <c r="I33" t="s">
        <v>431</v>
      </c>
      <c r="J33" t="s">
        <v>476</v>
      </c>
      <c r="K33">
        <v>841</v>
      </c>
      <c r="L33">
        <v>25</v>
      </c>
      <c r="M33">
        <v>151</v>
      </c>
      <c r="N33">
        <v>186</v>
      </c>
      <c r="O33">
        <v>4333</v>
      </c>
      <c r="P33">
        <v>2.61</v>
      </c>
      <c r="Q33">
        <v>1513</v>
      </c>
      <c r="R33">
        <v>6.2</v>
      </c>
      <c r="S33">
        <v>10</v>
      </c>
      <c r="T33">
        <v>2.6</v>
      </c>
      <c r="U33">
        <v>7</v>
      </c>
      <c r="V33">
        <v>580</v>
      </c>
      <c r="W33">
        <v>360</v>
      </c>
      <c r="X33">
        <v>351.62</v>
      </c>
      <c r="AH33">
        <v>58</v>
      </c>
      <c r="AI33">
        <v>6</v>
      </c>
      <c r="AJ33">
        <v>8</v>
      </c>
      <c r="AK33">
        <v>19</v>
      </c>
      <c r="AL33">
        <v>8</v>
      </c>
      <c r="AM33">
        <v>17</v>
      </c>
      <c r="AN33" t="s">
        <v>727</v>
      </c>
      <c r="AO33" t="s">
        <v>727</v>
      </c>
    </row>
    <row r="34" spans="1:41" x14ac:dyDescent="0.25">
      <c r="A34" t="s">
        <v>684</v>
      </c>
      <c r="B34" t="s">
        <v>334</v>
      </c>
      <c r="C34" t="s">
        <v>685</v>
      </c>
      <c r="D34">
        <f>ROUND(
  (
    --SUBSTITUTE(LEFT(C34,19),"T"," ")
    - DATE(1970,1,1)
  ) * 86400000,
  0
)</f>
        <v>1644012811000</v>
      </c>
      <c r="E34" t="str">
        <f>LEFT(D34,10) &amp; "." &amp; RIGHT(D34,3)</f>
        <v>1644012811.000</v>
      </c>
      <c r="F34" s="3">
        <f>(((E34/60)/60)/24)+DATE(1970,1,1)</f>
        <v>44596.926053240735</v>
      </c>
      <c r="G34" t="str">
        <f>_xlfn.XLOOKUP(
  WorkoutData[[#This Row],[gmailMessageId]],
  WorkoutData_old[gmailMessageId],
  WorkoutData_old[WorkoutType]
)</f>
        <v>3G</v>
      </c>
      <c r="H34" s="4">
        <v>0.67708333333333337</v>
      </c>
      <c r="I34" t="s">
        <v>431</v>
      </c>
      <c r="J34" t="s">
        <v>432</v>
      </c>
      <c r="K34">
        <v>833</v>
      </c>
      <c r="L34">
        <v>28</v>
      </c>
      <c r="M34">
        <v>147</v>
      </c>
      <c r="N34">
        <v>181</v>
      </c>
      <c r="O34">
        <v>3261</v>
      </c>
      <c r="P34">
        <v>1.86</v>
      </c>
      <c r="Q34">
        <v>1043</v>
      </c>
      <c r="R34">
        <v>6.4</v>
      </c>
      <c r="S34">
        <v>12</v>
      </c>
      <c r="T34">
        <v>1</v>
      </c>
      <c r="U34">
        <v>1</v>
      </c>
      <c r="V34">
        <v>563</v>
      </c>
      <c r="W34">
        <v>300</v>
      </c>
      <c r="X34">
        <v>97.85</v>
      </c>
      <c r="AH34">
        <v>58</v>
      </c>
      <c r="AI34">
        <v>6</v>
      </c>
      <c r="AJ34">
        <v>9</v>
      </c>
      <c r="AK34">
        <v>15</v>
      </c>
      <c r="AL34">
        <v>18</v>
      </c>
      <c r="AM34">
        <v>10</v>
      </c>
      <c r="AN34" t="s">
        <v>686</v>
      </c>
      <c r="AO34" t="s">
        <v>686</v>
      </c>
    </row>
    <row r="35" spans="1:41" x14ac:dyDescent="0.25">
      <c r="A35" t="s">
        <v>792</v>
      </c>
      <c r="B35" t="s">
        <v>332</v>
      </c>
      <c r="C35" t="s">
        <v>793</v>
      </c>
      <c r="D35">
        <f>ROUND(
  (
    --SUBSTITUTE(LEFT(C35,19),"T"," ")
    - DATE(1970,1,1)
  ) * 86400000,
  0
)</f>
        <v>1644881520000</v>
      </c>
      <c r="E35" t="str">
        <f>LEFT(D35,10) &amp; "." &amp; RIGHT(D35,3)</f>
        <v>1644881520.000</v>
      </c>
      <c r="F35" s="3">
        <f>(((E35/60)/60)/24)+DATE(1970,1,1)</f>
        <v>44606.98055555555</v>
      </c>
      <c r="G35" t="str">
        <f>_xlfn.XLOOKUP(
  WorkoutData[[#This Row],[gmailMessageId]],
  WorkoutData_old[gmailMessageId],
  WorkoutData_old[WorkoutType]
)</f>
        <v>3G</v>
      </c>
      <c r="H35" s="4">
        <v>0.72916666666666663</v>
      </c>
      <c r="I35" t="s">
        <v>431</v>
      </c>
      <c r="J35" t="s">
        <v>432</v>
      </c>
      <c r="K35">
        <v>859</v>
      </c>
      <c r="L35">
        <v>28</v>
      </c>
      <c r="M35">
        <v>148</v>
      </c>
      <c r="N35">
        <v>189</v>
      </c>
      <c r="O35">
        <v>3275</v>
      </c>
      <c r="P35">
        <v>1.77</v>
      </c>
      <c r="Q35">
        <v>1089</v>
      </c>
      <c r="R35">
        <v>5.9</v>
      </c>
      <c r="S35">
        <v>11</v>
      </c>
      <c r="T35">
        <v>1.3</v>
      </c>
      <c r="U35">
        <v>5</v>
      </c>
      <c r="V35">
        <v>614</v>
      </c>
      <c r="W35">
        <v>327</v>
      </c>
      <c r="X35">
        <v>121.34</v>
      </c>
      <c r="AH35">
        <v>60</v>
      </c>
      <c r="AI35">
        <v>10</v>
      </c>
      <c r="AJ35">
        <v>5</v>
      </c>
      <c r="AK35">
        <v>17</v>
      </c>
      <c r="AL35">
        <v>17</v>
      </c>
      <c r="AM35">
        <v>11</v>
      </c>
      <c r="AN35" t="s">
        <v>794</v>
      </c>
      <c r="AO35" t="s">
        <v>794</v>
      </c>
    </row>
    <row r="36" spans="1:41" x14ac:dyDescent="0.25">
      <c r="A36" t="s">
        <v>951</v>
      </c>
      <c r="B36" t="s">
        <v>330</v>
      </c>
      <c r="C36" t="s">
        <v>952</v>
      </c>
      <c r="D36">
        <f>ROUND(
  (
    --SUBSTITUTE(LEFT(C36,19),"T"," ")
    - DATE(1970,1,1)
  ) * 86400000,
  0
)</f>
        <v>1644963195000</v>
      </c>
      <c r="E36" t="str">
        <f>LEFT(D36,10) &amp; "." &amp; RIGHT(D36,3)</f>
        <v>1644963195.000</v>
      </c>
      <c r="F36" s="3">
        <f>(((E36/60)/60)/24)+DATE(1970,1,1)</f>
        <v>44607.92586805555</v>
      </c>
      <c r="G36" t="str">
        <f>_xlfn.XLOOKUP(
  WorkoutData[[#This Row],[gmailMessageId]],
  WorkoutData_old[gmailMessageId],
  WorkoutData_old[WorkoutType]
)</f>
        <v>2G</v>
      </c>
      <c r="H36" s="4">
        <v>0.67708333333333337</v>
      </c>
      <c r="I36" t="s">
        <v>433</v>
      </c>
      <c r="J36" t="s">
        <v>472</v>
      </c>
      <c r="K36">
        <v>919</v>
      </c>
      <c r="L36">
        <v>33</v>
      </c>
      <c r="M36">
        <v>159</v>
      </c>
      <c r="N36">
        <v>194</v>
      </c>
      <c r="O36">
        <v>3619</v>
      </c>
      <c r="P36">
        <v>2.27</v>
      </c>
      <c r="Q36">
        <v>1343</v>
      </c>
      <c r="R36">
        <v>6.1</v>
      </c>
      <c r="S36">
        <v>12</v>
      </c>
      <c r="T36">
        <v>1</v>
      </c>
      <c r="U36">
        <v>1</v>
      </c>
      <c r="V36">
        <v>592</v>
      </c>
      <c r="W36">
        <v>300</v>
      </c>
      <c r="X36">
        <v>119.11</v>
      </c>
      <c r="AH36">
        <v>56</v>
      </c>
      <c r="AI36">
        <v>2</v>
      </c>
      <c r="AJ36">
        <v>3</v>
      </c>
      <c r="AK36">
        <v>18</v>
      </c>
      <c r="AL36">
        <v>19</v>
      </c>
      <c r="AM36">
        <v>14</v>
      </c>
      <c r="AN36" t="s">
        <v>953</v>
      </c>
      <c r="AO36" t="s">
        <v>953</v>
      </c>
    </row>
    <row r="37" spans="1:41" x14ac:dyDescent="0.25">
      <c r="A37" t="s">
        <v>1041</v>
      </c>
      <c r="B37" t="s">
        <v>328</v>
      </c>
      <c r="C37" t="s">
        <v>1042</v>
      </c>
      <c r="D37">
        <f>ROUND(
  (
    --SUBSTITUTE(LEFT(C37,19),"T"," ")
    - DATE(1970,1,1)
  ) * 86400000,
  0
)</f>
        <v>1645136034000</v>
      </c>
      <c r="E37" t="str">
        <f>LEFT(D37,10) &amp; "." &amp; RIGHT(D37,3)</f>
        <v>1645136034.000</v>
      </c>
      <c r="F37" s="3">
        <f>(((E37/60)/60)/24)+DATE(1970,1,1)</f>
        <v>44609.926319444443</v>
      </c>
      <c r="G37" t="str">
        <f>_xlfn.XLOOKUP(
  WorkoutData[[#This Row],[gmailMessageId]],
  WorkoutData_old[gmailMessageId],
  WorkoutData_old[WorkoutType]
)</f>
        <v>2G</v>
      </c>
      <c r="H37" s="4">
        <v>0.67708333333333337</v>
      </c>
      <c r="I37" t="s">
        <v>433</v>
      </c>
      <c r="J37" t="s">
        <v>472</v>
      </c>
      <c r="K37">
        <v>999</v>
      </c>
      <c r="L37">
        <v>45</v>
      </c>
      <c r="M37">
        <v>167</v>
      </c>
      <c r="N37">
        <v>190</v>
      </c>
      <c r="O37">
        <v>4548</v>
      </c>
      <c r="P37">
        <v>3.03</v>
      </c>
      <c r="Q37">
        <v>1609</v>
      </c>
      <c r="R37">
        <v>6.8</v>
      </c>
      <c r="S37">
        <v>10</v>
      </c>
      <c r="T37">
        <v>1</v>
      </c>
      <c r="U37">
        <v>1</v>
      </c>
      <c r="V37">
        <v>529</v>
      </c>
      <c r="W37">
        <v>360</v>
      </c>
      <c r="X37">
        <v>159.91</v>
      </c>
      <c r="AH37">
        <v>57</v>
      </c>
      <c r="AI37">
        <v>4</v>
      </c>
      <c r="AJ37">
        <v>1</v>
      </c>
      <c r="AK37">
        <v>7</v>
      </c>
      <c r="AL37">
        <v>18</v>
      </c>
      <c r="AM37">
        <v>27</v>
      </c>
      <c r="AN37" t="s">
        <v>1043</v>
      </c>
      <c r="AO37" t="s">
        <v>1043</v>
      </c>
    </row>
    <row r="38" spans="1:41" x14ac:dyDescent="0.25">
      <c r="A38" t="s">
        <v>977</v>
      </c>
      <c r="B38" t="s">
        <v>326</v>
      </c>
      <c r="C38" t="s">
        <v>978</v>
      </c>
      <c r="D38">
        <f>ROUND(
  (
    --SUBSTITUTE(LEFT(C38,19),"T"," ")
    - DATE(1970,1,1)
  ) * 86400000,
  0
)</f>
        <v>1645568039000</v>
      </c>
      <c r="E38" t="str">
        <f>LEFT(D38,10) &amp; "." &amp; RIGHT(D38,3)</f>
        <v>1645568039.000</v>
      </c>
      <c r="F38" s="3">
        <f>(((E38/60)/60)/24)+DATE(1970,1,1)</f>
        <v>44614.926377314812</v>
      </c>
      <c r="G38" t="str">
        <f>_xlfn.XLOOKUP(
  WorkoutData[[#This Row],[gmailMessageId]],
  WorkoutData_old[gmailMessageId],
  WorkoutData_old[WorkoutType]
)</f>
        <v>2G</v>
      </c>
      <c r="H38" s="4">
        <v>0.67708333333333337</v>
      </c>
      <c r="I38" t="s">
        <v>433</v>
      </c>
      <c r="J38" t="s">
        <v>472</v>
      </c>
      <c r="K38">
        <v>932</v>
      </c>
      <c r="L38">
        <v>38</v>
      </c>
      <c r="M38">
        <v>163</v>
      </c>
      <c r="N38">
        <v>192</v>
      </c>
      <c r="O38">
        <v>4218</v>
      </c>
      <c r="P38">
        <v>2.79</v>
      </c>
      <c r="Q38">
        <v>1598</v>
      </c>
      <c r="R38">
        <v>6.4</v>
      </c>
      <c r="S38">
        <v>11</v>
      </c>
      <c r="T38">
        <v>1.7</v>
      </c>
      <c r="U38">
        <v>5</v>
      </c>
      <c r="V38">
        <v>565</v>
      </c>
      <c r="W38">
        <v>327</v>
      </c>
      <c r="X38">
        <v>254.22</v>
      </c>
      <c r="AH38">
        <v>55</v>
      </c>
      <c r="AI38">
        <v>3</v>
      </c>
      <c r="AJ38">
        <v>2</v>
      </c>
      <c r="AK38">
        <v>12</v>
      </c>
      <c r="AL38">
        <v>18</v>
      </c>
      <c r="AM38">
        <v>20</v>
      </c>
      <c r="AN38" t="s">
        <v>979</v>
      </c>
      <c r="AO38" t="s">
        <v>979</v>
      </c>
    </row>
    <row r="39" spans="1:41" x14ac:dyDescent="0.25">
      <c r="A39" t="s">
        <v>816</v>
      </c>
      <c r="B39" t="s">
        <v>324</v>
      </c>
      <c r="C39" t="s">
        <v>817</v>
      </c>
      <c r="D39">
        <f>ROUND(
  (
    --SUBSTITUTE(LEFT(C39,19),"T"," ")
    - DATE(1970,1,1)
  ) * 86400000,
  0
)</f>
        <v>1645659019000</v>
      </c>
      <c r="E39" t="str">
        <f>LEFT(D39,10) &amp; "." &amp; RIGHT(D39,3)</f>
        <v>1645659019.000</v>
      </c>
      <c r="F39" s="3">
        <f>(((E39/60)/60)/24)+DATE(1970,1,1)</f>
        <v>44615.979386574079</v>
      </c>
      <c r="G39" t="str">
        <f>_xlfn.XLOOKUP(
  WorkoutData[[#This Row],[gmailMessageId]],
  WorkoutData_old[gmailMessageId],
  WorkoutData_old[WorkoutType]
)</f>
        <v>3G</v>
      </c>
      <c r="H39" s="4">
        <v>0.72916666666666663</v>
      </c>
      <c r="I39" t="s">
        <v>431</v>
      </c>
      <c r="J39" t="s">
        <v>476</v>
      </c>
      <c r="K39">
        <v>868</v>
      </c>
      <c r="L39">
        <v>24</v>
      </c>
      <c r="M39">
        <v>150</v>
      </c>
      <c r="N39">
        <v>185</v>
      </c>
      <c r="O39">
        <v>3280</v>
      </c>
      <c r="P39">
        <v>1.85</v>
      </c>
      <c r="Q39">
        <v>1078</v>
      </c>
      <c r="R39">
        <v>6.1</v>
      </c>
      <c r="S39">
        <v>11</v>
      </c>
      <c r="T39">
        <v>0.9</v>
      </c>
      <c r="U39">
        <v>1</v>
      </c>
      <c r="V39">
        <v>586</v>
      </c>
      <c r="W39">
        <v>327</v>
      </c>
      <c r="X39">
        <v>90.14</v>
      </c>
      <c r="AH39">
        <v>60</v>
      </c>
      <c r="AI39">
        <v>4</v>
      </c>
      <c r="AJ39">
        <v>8</v>
      </c>
      <c r="AK39">
        <v>24</v>
      </c>
      <c r="AL39">
        <v>19</v>
      </c>
      <c r="AM39">
        <v>5</v>
      </c>
      <c r="AN39" t="s">
        <v>818</v>
      </c>
      <c r="AO39" t="s">
        <v>818</v>
      </c>
    </row>
    <row r="40" spans="1:41" x14ac:dyDescent="0.25">
      <c r="A40" t="s">
        <v>842</v>
      </c>
      <c r="B40" t="s">
        <v>322</v>
      </c>
      <c r="C40" t="s">
        <v>843</v>
      </c>
      <c r="D40">
        <f>ROUND(
  (
    --SUBSTITUTE(LEFT(C40,19),"T"," ")
    - DATE(1970,1,1)
  ) * 86400000,
  0
)</f>
        <v>1645827280000</v>
      </c>
      <c r="E40" t="str">
        <f>LEFT(D40,10) &amp; "." &amp; RIGHT(D40,3)</f>
        <v>1645827280.000</v>
      </c>
      <c r="F40" s="3">
        <f>(((E40/60)/60)/24)+DATE(1970,1,1)</f>
        <v>44617.926851851851</v>
      </c>
      <c r="G40" t="str">
        <f>_xlfn.XLOOKUP(
  WorkoutData[[#This Row],[gmailMessageId]],
  WorkoutData_old[gmailMessageId],
  WorkoutData_old[WorkoutType]
)</f>
        <v>3G</v>
      </c>
      <c r="H40" s="4">
        <v>0.67708333333333337</v>
      </c>
      <c r="I40" t="s">
        <v>433</v>
      </c>
      <c r="J40" t="s">
        <v>472</v>
      </c>
      <c r="K40">
        <v>874</v>
      </c>
      <c r="L40">
        <v>25</v>
      </c>
      <c r="M40">
        <v>154</v>
      </c>
      <c r="N40">
        <v>187</v>
      </c>
      <c r="O40">
        <v>2970</v>
      </c>
      <c r="P40">
        <v>1.88</v>
      </c>
      <c r="Q40">
        <v>988</v>
      </c>
      <c r="R40">
        <v>6.8</v>
      </c>
      <c r="S40">
        <v>10</v>
      </c>
      <c r="T40">
        <v>1</v>
      </c>
      <c r="U40">
        <v>2</v>
      </c>
      <c r="V40">
        <v>527</v>
      </c>
      <c r="W40">
        <v>360</v>
      </c>
      <c r="X40">
        <v>99.15</v>
      </c>
      <c r="AH40">
        <v>57</v>
      </c>
      <c r="AI40">
        <v>4</v>
      </c>
      <c r="AJ40">
        <v>4</v>
      </c>
      <c r="AK40">
        <v>24</v>
      </c>
      <c r="AL40">
        <v>11</v>
      </c>
      <c r="AM40">
        <v>14</v>
      </c>
      <c r="AN40" t="s">
        <v>844</v>
      </c>
      <c r="AO40" t="s">
        <v>844</v>
      </c>
    </row>
    <row r="41" spans="1:41" x14ac:dyDescent="0.25">
      <c r="A41" t="s">
        <v>586</v>
      </c>
      <c r="B41" t="s">
        <v>320</v>
      </c>
      <c r="C41" t="s">
        <v>587</v>
      </c>
      <c r="D41">
        <f>ROUND(
  (
    --SUBSTITUTE(LEFT(C41,19),"T"," ")
    - DATE(1970,1,1)
  ) * 86400000,
  0
)</f>
        <v>1646086409000</v>
      </c>
      <c r="E41" t="str">
        <f>LEFT(D41,10) &amp; "." &amp; RIGHT(D41,3)</f>
        <v>1646086409.000</v>
      </c>
      <c r="F41" s="3">
        <f>(((E41/60)/60)/24)+DATE(1970,1,1)</f>
        <v>44620.926030092596</v>
      </c>
      <c r="G41" t="str">
        <f>_xlfn.XLOOKUP(
  WorkoutData[[#This Row],[gmailMessageId]],
  WorkoutData_old[gmailMessageId],
  WorkoutData_old[WorkoutType]
)</f>
        <v>2G</v>
      </c>
      <c r="H41" s="4">
        <v>0.67708333333333337</v>
      </c>
      <c r="I41" t="s">
        <v>431</v>
      </c>
      <c r="J41" t="s">
        <v>432</v>
      </c>
      <c r="K41">
        <v>784</v>
      </c>
      <c r="L41">
        <v>21</v>
      </c>
      <c r="M41">
        <v>143</v>
      </c>
      <c r="N41">
        <v>183</v>
      </c>
      <c r="O41">
        <v>4181</v>
      </c>
      <c r="P41">
        <v>2.7</v>
      </c>
      <c r="Q41">
        <v>1604</v>
      </c>
      <c r="R41">
        <v>6.1</v>
      </c>
      <c r="S41">
        <v>10</v>
      </c>
      <c r="T41">
        <v>1.8</v>
      </c>
      <c r="U41">
        <v>5</v>
      </c>
      <c r="V41">
        <v>591</v>
      </c>
      <c r="W41">
        <v>360</v>
      </c>
      <c r="X41">
        <v>258.88</v>
      </c>
      <c r="AH41">
        <v>57</v>
      </c>
      <c r="AI41">
        <v>8</v>
      </c>
      <c r="AJ41">
        <v>12</v>
      </c>
      <c r="AK41">
        <v>16</v>
      </c>
      <c r="AL41">
        <v>11</v>
      </c>
      <c r="AM41">
        <v>10</v>
      </c>
      <c r="AN41" t="s">
        <v>588</v>
      </c>
      <c r="AO41" t="s">
        <v>588</v>
      </c>
    </row>
    <row r="42" spans="1:41" x14ac:dyDescent="0.25">
      <c r="A42" t="s">
        <v>655</v>
      </c>
      <c r="B42" t="s">
        <v>318</v>
      </c>
      <c r="C42" t="s">
        <v>656</v>
      </c>
      <c r="D42">
        <f>ROUND(
  (
    --SUBSTITUTE(LEFT(C42,19),"T"," ")
    - DATE(1970,1,1)
  ) * 86400000,
  0
)</f>
        <v>1646263807000</v>
      </c>
      <c r="E42" t="str">
        <f>LEFT(D42,10) &amp; "." &amp; RIGHT(D42,3)</f>
        <v>1646263807.000</v>
      </c>
      <c r="F42" s="3">
        <f>(((E42/60)/60)/24)+DATE(1970,1,1)</f>
        <v>44622.979247685187</v>
      </c>
      <c r="G42" t="str">
        <f>_xlfn.XLOOKUP(
  WorkoutData[[#This Row],[gmailMessageId]],
  WorkoutData_old[gmailMessageId],
  WorkoutData_old[WorkoutType]
)</f>
        <v>3G</v>
      </c>
      <c r="H42" s="4">
        <v>0.72916666666666663</v>
      </c>
      <c r="I42" t="s">
        <v>431</v>
      </c>
      <c r="J42" t="s">
        <v>441</v>
      </c>
      <c r="K42">
        <v>818</v>
      </c>
      <c r="L42">
        <v>23</v>
      </c>
      <c r="M42">
        <v>151</v>
      </c>
      <c r="N42">
        <v>184</v>
      </c>
      <c r="O42">
        <v>2958</v>
      </c>
      <c r="P42">
        <v>1.85</v>
      </c>
      <c r="Q42">
        <v>1042</v>
      </c>
      <c r="R42">
        <v>6.4</v>
      </c>
      <c r="S42">
        <v>11</v>
      </c>
      <c r="T42">
        <v>1</v>
      </c>
      <c r="U42">
        <v>1</v>
      </c>
      <c r="V42">
        <v>564</v>
      </c>
      <c r="W42">
        <v>327</v>
      </c>
      <c r="X42">
        <v>97.06</v>
      </c>
      <c r="AH42">
        <v>55</v>
      </c>
      <c r="AI42">
        <v>1</v>
      </c>
      <c r="AJ42">
        <v>10</v>
      </c>
      <c r="AK42">
        <v>21</v>
      </c>
      <c r="AL42">
        <v>18</v>
      </c>
      <c r="AM42">
        <v>5</v>
      </c>
      <c r="AN42" t="s">
        <v>657</v>
      </c>
      <c r="AO42" t="s">
        <v>657</v>
      </c>
    </row>
    <row r="43" spans="1:41" x14ac:dyDescent="0.25">
      <c r="A43" t="s">
        <v>507</v>
      </c>
      <c r="B43" t="s">
        <v>316</v>
      </c>
      <c r="C43" t="s">
        <v>508</v>
      </c>
      <c r="D43">
        <f>ROUND(
  (
    --SUBSTITUTE(LEFT(C43,19),"T"," ")
    - DATE(1970,1,1)
  ) * 86400000,
  0
)</f>
        <v>1646432050000</v>
      </c>
      <c r="E43" t="str">
        <f>LEFT(D43,10) &amp; "." &amp; RIGHT(D43,3)</f>
        <v>1646432050.000</v>
      </c>
      <c r="F43" s="3">
        <f>(((E43/60)/60)/24)+DATE(1970,1,1)</f>
        <v>44624.926504629635</v>
      </c>
      <c r="G43" t="str">
        <f>_xlfn.XLOOKUP(
  WorkoutData[[#This Row],[gmailMessageId]],
  WorkoutData_old[gmailMessageId],
  WorkoutData_old[WorkoutType]
)</f>
        <v>2G</v>
      </c>
      <c r="H43" s="4">
        <v>0.67708333333333337</v>
      </c>
      <c r="I43" t="s">
        <v>431</v>
      </c>
      <c r="J43" t="s">
        <v>509</v>
      </c>
      <c r="K43">
        <v>723</v>
      </c>
      <c r="L43">
        <v>14</v>
      </c>
      <c r="M43">
        <v>136</v>
      </c>
      <c r="N43">
        <v>180</v>
      </c>
      <c r="O43">
        <v>2350</v>
      </c>
      <c r="P43">
        <v>1.34</v>
      </c>
      <c r="Q43">
        <v>551</v>
      </c>
      <c r="R43">
        <v>8.1</v>
      </c>
      <c r="S43">
        <v>10</v>
      </c>
      <c r="T43">
        <v>0.8</v>
      </c>
      <c r="U43">
        <v>1</v>
      </c>
      <c r="V43">
        <v>443</v>
      </c>
      <c r="W43">
        <v>360</v>
      </c>
      <c r="X43">
        <v>58.25</v>
      </c>
      <c r="AH43">
        <v>57</v>
      </c>
      <c r="AI43">
        <v>13</v>
      </c>
      <c r="AJ43">
        <v>12</v>
      </c>
      <c r="AK43">
        <v>18</v>
      </c>
      <c r="AL43">
        <v>13</v>
      </c>
      <c r="AM43">
        <v>1</v>
      </c>
      <c r="AN43" t="s">
        <v>510</v>
      </c>
      <c r="AO43" t="s">
        <v>510</v>
      </c>
    </row>
    <row r="44" spans="1:41" x14ac:dyDescent="0.25">
      <c r="A44" t="s">
        <v>562</v>
      </c>
      <c r="B44" t="s">
        <v>314</v>
      </c>
      <c r="C44" t="s">
        <v>563</v>
      </c>
      <c r="D44">
        <f>ROUND(
  (
    --SUBSTITUTE(LEFT(C44,19),"T"," ")
    - DATE(1970,1,1)
  ) * 86400000,
  0
)</f>
        <v>1646695687000</v>
      </c>
      <c r="E44" t="str">
        <f>LEFT(D44,10) &amp; "." &amp; RIGHT(D44,3)</f>
        <v>1646695687.000</v>
      </c>
      <c r="F44" s="3">
        <f>(((E44/60)/60)/24)+DATE(1970,1,1)</f>
        <v>44627.977858796294</v>
      </c>
      <c r="G44" t="str">
        <f>_xlfn.XLOOKUP(
  WorkoutData[[#This Row],[gmailMessageId]],
  WorkoutData_old[gmailMessageId],
  WorkoutData_old[WorkoutType]
)</f>
        <v>3G</v>
      </c>
      <c r="H44" s="4">
        <v>0.72916666666666663</v>
      </c>
      <c r="I44" t="s">
        <v>431</v>
      </c>
      <c r="J44" t="s">
        <v>432</v>
      </c>
      <c r="K44">
        <v>772</v>
      </c>
      <c r="L44">
        <v>16</v>
      </c>
      <c r="M44">
        <v>144</v>
      </c>
      <c r="N44">
        <v>182</v>
      </c>
      <c r="O44">
        <v>3807</v>
      </c>
      <c r="P44">
        <v>1.91</v>
      </c>
      <c r="Q44">
        <v>1029</v>
      </c>
      <c r="R44">
        <v>6.7</v>
      </c>
      <c r="S44">
        <v>9</v>
      </c>
      <c r="T44">
        <v>1</v>
      </c>
      <c r="U44">
        <v>1</v>
      </c>
      <c r="V44">
        <v>538</v>
      </c>
      <c r="W44">
        <v>400</v>
      </c>
      <c r="X44">
        <v>100.69</v>
      </c>
      <c r="AH44">
        <v>56</v>
      </c>
      <c r="AI44">
        <v>9</v>
      </c>
      <c r="AJ44">
        <v>7</v>
      </c>
      <c r="AK44">
        <v>24</v>
      </c>
      <c r="AL44">
        <v>6</v>
      </c>
      <c r="AM44">
        <v>10</v>
      </c>
      <c r="AN44" t="s">
        <v>564</v>
      </c>
      <c r="AO44" t="s">
        <v>564</v>
      </c>
    </row>
    <row r="45" spans="1:41" x14ac:dyDescent="0.25">
      <c r="A45" t="s">
        <v>786</v>
      </c>
      <c r="B45" t="s">
        <v>312</v>
      </c>
      <c r="C45" t="s">
        <v>787</v>
      </c>
      <c r="D45">
        <f>ROUND(
  (
    --SUBSTITUTE(LEFT(C45,19),"T"," ")
    - DATE(1970,1,1)
  ) * 86400000,
  0
)</f>
        <v>1647036889000</v>
      </c>
      <c r="E45" t="str">
        <f>LEFT(D45,10) &amp; "." &amp; RIGHT(D45,3)</f>
        <v>1647036889.000</v>
      </c>
      <c r="F45" s="3">
        <f>(((E45/60)/60)/24)+DATE(1970,1,1)</f>
        <v>44631.92695601852</v>
      </c>
      <c r="G45" t="str">
        <f>_xlfn.XLOOKUP(
  WorkoutData[[#This Row],[gmailMessageId]],
  WorkoutData_old[gmailMessageId],
  WorkoutData_old[WorkoutType]
)</f>
        <v>2G</v>
      </c>
      <c r="H45" s="4">
        <v>0.67708333333333337</v>
      </c>
      <c r="I45" t="s">
        <v>431</v>
      </c>
      <c r="J45" t="s">
        <v>509</v>
      </c>
      <c r="K45">
        <v>857</v>
      </c>
      <c r="L45">
        <v>24</v>
      </c>
      <c r="M45">
        <v>148</v>
      </c>
      <c r="N45">
        <v>183</v>
      </c>
      <c r="O45">
        <v>4413</v>
      </c>
      <c r="P45">
        <v>2.78</v>
      </c>
      <c r="Q45">
        <v>1579</v>
      </c>
      <c r="R45">
        <v>6.5</v>
      </c>
      <c r="S45">
        <v>12</v>
      </c>
      <c r="T45">
        <v>1.6</v>
      </c>
      <c r="U45">
        <v>9</v>
      </c>
      <c r="V45">
        <v>550</v>
      </c>
      <c r="W45">
        <v>300</v>
      </c>
      <c r="X45">
        <v>240.4</v>
      </c>
      <c r="AH45">
        <v>60</v>
      </c>
      <c r="AI45">
        <v>7</v>
      </c>
      <c r="AJ45">
        <v>8</v>
      </c>
      <c r="AK45">
        <v>21</v>
      </c>
      <c r="AL45">
        <v>10</v>
      </c>
      <c r="AM45">
        <v>14</v>
      </c>
      <c r="AN45" t="s">
        <v>788</v>
      </c>
      <c r="AO45" t="s">
        <v>788</v>
      </c>
    </row>
    <row r="46" spans="1:41" x14ac:dyDescent="0.25">
      <c r="A46" t="s">
        <v>678</v>
      </c>
      <c r="B46" t="s">
        <v>310</v>
      </c>
      <c r="C46" t="s">
        <v>679</v>
      </c>
      <c r="D46">
        <f>ROUND(
  (
    --SUBSTITUTE(LEFT(C46,19),"T"," ")
    - DATE(1970,1,1)
  ) * 86400000,
  0
)</f>
        <v>1648074584000</v>
      </c>
      <c r="E46" t="str">
        <f>LEFT(D46,10) &amp; "." &amp; RIGHT(D46,3)</f>
        <v>1648074584.000</v>
      </c>
      <c r="F46" s="3">
        <f>(((E46/60)/60)/24)+DATE(1970,1,1)</f>
        <v>44643.937314814815</v>
      </c>
      <c r="G46" t="str">
        <f>_xlfn.XLOOKUP(
  WorkoutData[[#This Row],[gmailMessageId]],
  WorkoutData_old[gmailMessageId],
  WorkoutData_old[WorkoutType]
)</f>
        <v>3G</v>
      </c>
      <c r="H46" s="4">
        <v>0.72916666666666663</v>
      </c>
      <c r="I46" t="s">
        <v>431</v>
      </c>
      <c r="J46" t="s">
        <v>441</v>
      </c>
      <c r="K46">
        <v>832</v>
      </c>
      <c r="L46">
        <v>22</v>
      </c>
      <c r="M46">
        <v>148</v>
      </c>
      <c r="N46">
        <v>185</v>
      </c>
      <c r="O46">
        <v>4078</v>
      </c>
      <c r="P46">
        <v>1.81</v>
      </c>
      <c r="Q46">
        <v>1038</v>
      </c>
      <c r="R46">
        <v>6.2</v>
      </c>
      <c r="S46">
        <v>10</v>
      </c>
      <c r="T46">
        <v>1</v>
      </c>
      <c r="U46">
        <v>1</v>
      </c>
      <c r="V46">
        <v>576</v>
      </c>
      <c r="W46">
        <v>360</v>
      </c>
      <c r="X46">
        <v>94.47</v>
      </c>
      <c r="AH46">
        <v>58</v>
      </c>
      <c r="AI46">
        <v>3</v>
      </c>
      <c r="AJ46">
        <v>11</v>
      </c>
      <c r="AK46">
        <v>22</v>
      </c>
      <c r="AL46">
        <v>13</v>
      </c>
      <c r="AM46">
        <v>9</v>
      </c>
      <c r="AN46" t="s">
        <v>680</v>
      </c>
      <c r="AO46" t="s">
        <v>680</v>
      </c>
    </row>
    <row r="47" spans="1:41" x14ac:dyDescent="0.25">
      <c r="A47" t="s">
        <v>491</v>
      </c>
      <c r="B47" t="s">
        <v>308</v>
      </c>
      <c r="C47" t="s">
        <v>492</v>
      </c>
      <c r="D47">
        <f>ROUND(
  (
    --SUBSTITUTE(LEFT(C47,19),"T"," ")
    - DATE(1970,1,1)
  ) * 86400000,
  0
)</f>
        <v>1648506681000</v>
      </c>
      <c r="E47" t="str">
        <f>LEFT(D47,10) &amp; "." &amp; RIGHT(D47,3)</f>
        <v>1648506681.000</v>
      </c>
      <c r="F47" s="3">
        <f>(((E47/60)/60)/24)+DATE(1970,1,1)</f>
        <v>44648.938437500001</v>
      </c>
      <c r="G47" t="str">
        <f>_xlfn.XLOOKUP(
  WorkoutData[[#This Row],[gmailMessageId]],
  WorkoutData_old[gmailMessageId],
  WorkoutData_old[WorkoutType]
)</f>
        <v>3G</v>
      </c>
      <c r="H47" s="4">
        <v>0.72916666666666663</v>
      </c>
      <c r="I47" t="s">
        <v>431</v>
      </c>
      <c r="J47" t="s">
        <v>432</v>
      </c>
      <c r="K47">
        <v>707</v>
      </c>
      <c r="L47">
        <v>22</v>
      </c>
      <c r="M47">
        <v>136</v>
      </c>
      <c r="N47">
        <v>185</v>
      </c>
      <c r="O47">
        <v>3493</v>
      </c>
      <c r="P47">
        <v>1.98</v>
      </c>
      <c r="Q47">
        <v>1092</v>
      </c>
      <c r="R47">
        <v>6.5</v>
      </c>
      <c r="S47">
        <v>9</v>
      </c>
      <c r="T47">
        <v>1</v>
      </c>
      <c r="U47">
        <v>1</v>
      </c>
      <c r="V47">
        <v>554</v>
      </c>
      <c r="W47">
        <v>400</v>
      </c>
      <c r="X47">
        <v>104.31</v>
      </c>
      <c r="AH47">
        <v>57</v>
      </c>
      <c r="AI47">
        <v>18</v>
      </c>
      <c r="AJ47">
        <v>7</v>
      </c>
      <c r="AK47">
        <v>10</v>
      </c>
      <c r="AL47">
        <v>11</v>
      </c>
      <c r="AM47">
        <v>11</v>
      </c>
      <c r="AN47" t="s">
        <v>493</v>
      </c>
      <c r="AO47" t="s">
        <v>493</v>
      </c>
    </row>
    <row r="48" spans="1:41" x14ac:dyDescent="0.25">
      <c r="A48" t="s">
        <v>553</v>
      </c>
      <c r="B48" t="s">
        <v>306</v>
      </c>
      <c r="C48" t="s">
        <v>554</v>
      </c>
      <c r="D48">
        <f>ROUND(
  (
    --SUBSTITUTE(LEFT(C48,19),"T"," ")
    - DATE(1970,1,1)
  ) * 86400000,
  0
)</f>
        <v>1648765871000</v>
      </c>
      <c r="E48" t="str">
        <f>LEFT(D48,10) &amp; "." &amp; RIGHT(D48,3)</f>
        <v>1648765871.000</v>
      </c>
      <c r="F48" s="3">
        <f>(((E48/60)/60)/24)+DATE(1970,1,1)</f>
        <v>44651.938321759255</v>
      </c>
      <c r="G48" t="str">
        <f>_xlfn.XLOOKUP(
  WorkoutData[[#This Row],[gmailMessageId]],
  WorkoutData_old[gmailMessageId],
  WorkoutData_old[WorkoutType]
)</f>
        <v>3G</v>
      </c>
      <c r="H48" s="4">
        <v>0.72916666666666663</v>
      </c>
      <c r="I48" t="s">
        <v>431</v>
      </c>
      <c r="J48" t="s">
        <v>441</v>
      </c>
      <c r="K48">
        <v>769</v>
      </c>
      <c r="L48">
        <v>19</v>
      </c>
      <c r="M48">
        <v>142</v>
      </c>
      <c r="N48">
        <v>181</v>
      </c>
      <c r="O48">
        <v>4162</v>
      </c>
      <c r="P48">
        <v>2.67</v>
      </c>
      <c r="Q48">
        <v>1602</v>
      </c>
      <c r="R48">
        <v>6</v>
      </c>
      <c r="S48">
        <v>11</v>
      </c>
      <c r="T48">
        <v>1.3</v>
      </c>
      <c r="U48">
        <v>5</v>
      </c>
      <c r="V48">
        <v>599</v>
      </c>
      <c r="W48">
        <v>327</v>
      </c>
      <c r="X48">
        <v>186.78</v>
      </c>
      <c r="AH48">
        <v>56</v>
      </c>
      <c r="AI48">
        <v>10</v>
      </c>
      <c r="AJ48">
        <v>7</v>
      </c>
      <c r="AK48">
        <v>20</v>
      </c>
      <c r="AL48">
        <v>11</v>
      </c>
      <c r="AM48">
        <v>8</v>
      </c>
      <c r="AN48" t="s">
        <v>555</v>
      </c>
      <c r="AO48" t="s">
        <v>555</v>
      </c>
    </row>
    <row r="49" spans="1:41" x14ac:dyDescent="0.25">
      <c r="A49" t="s">
        <v>764</v>
      </c>
      <c r="B49" t="s">
        <v>304</v>
      </c>
      <c r="C49" t="s">
        <v>765</v>
      </c>
      <c r="D49">
        <f>ROUND(
  (
    --SUBSTITUTE(LEFT(C49,19),"T"," ")
    - DATE(1970,1,1)
  ) * 86400000,
  0
)</f>
        <v>1649111518000</v>
      </c>
      <c r="E49" t="str">
        <f>LEFT(D49,10) &amp; "." &amp; RIGHT(D49,3)</f>
        <v>1649111518.000</v>
      </c>
      <c r="F49" s="3">
        <f>(((E49/60)/60)/24)+DATE(1970,1,1)</f>
        <v>44655.93886574074</v>
      </c>
      <c r="G49" t="str">
        <f>_xlfn.XLOOKUP(
  WorkoutData[[#This Row],[gmailMessageId]],
  WorkoutData_old[gmailMessageId],
  WorkoutData_old[WorkoutType]
)</f>
        <v>3G</v>
      </c>
      <c r="H49" s="4">
        <v>0.72916666666666663</v>
      </c>
      <c r="I49" t="s">
        <v>431</v>
      </c>
      <c r="J49" t="s">
        <v>432</v>
      </c>
      <c r="K49">
        <v>853</v>
      </c>
      <c r="L49">
        <v>23</v>
      </c>
      <c r="M49">
        <v>147</v>
      </c>
      <c r="N49">
        <v>184</v>
      </c>
      <c r="O49">
        <v>3528</v>
      </c>
      <c r="P49">
        <v>1.69</v>
      </c>
      <c r="Q49">
        <v>1026</v>
      </c>
      <c r="R49">
        <v>5.9</v>
      </c>
      <c r="S49">
        <v>12</v>
      </c>
      <c r="T49">
        <v>1</v>
      </c>
      <c r="U49">
        <v>1</v>
      </c>
      <c r="V49">
        <v>606</v>
      </c>
      <c r="W49">
        <v>300</v>
      </c>
      <c r="X49">
        <v>89.27</v>
      </c>
      <c r="AH49">
        <v>60</v>
      </c>
      <c r="AI49">
        <v>8</v>
      </c>
      <c r="AJ49">
        <v>6</v>
      </c>
      <c r="AK49">
        <v>23</v>
      </c>
      <c r="AL49">
        <v>15</v>
      </c>
      <c r="AM49">
        <v>8</v>
      </c>
      <c r="AN49" t="s">
        <v>766</v>
      </c>
      <c r="AO49" t="s">
        <v>766</v>
      </c>
    </row>
    <row r="50" spans="1:41" x14ac:dyDescent="0.25">
      <c r="A50" t="s">
        <v>706</v>
      </c>
      <c r="B50" t="s">
        <v>302</v>
      </c>
      <c r="C50" t="s">
        <v>707</v>
      </c>
      <c r="D50">
        <f>ROUND(
  (
    --SUBSTITUTE(LEFT(C50,19),"T"," ")
    - DATE(1970,1,1)
  ) * 86400000,
  0
)</f>
        <v>1650621553000</v>
      </c>
      <c r="E50" t="str">
        <f>LEFT(D50,10) &amp; "." &amp; RIGHT(D50,3)</f>
        <v>1650621553.000</v>
      </c>
      <c r="F50" s="3">
        <f>(((E50/60)/60)/24)+DATE(1970,1,1)</f>
        <v>44673.416122685187</v>
      </c>
      <c r="G50" t="str">
        <f>_xlfn.XLOOKUP(
  WorkoutData[[#This Row],[gmailMessageId]],
  WorkoutData_old[gmailMessageId],
  WorkoutData_old[WorkoutType]
)</f>
        <v>2G</v>
      </c>
      <c r="H50" s="4">
        <v>0.20833333333333334</v>
      </c>
      <c r="I50" t="s">
        <v>431</v>
      </c>
      <c r="J50" t="s">
        <v>432</v>
      </c>
      <c r="K50">
        <v>838</v>
      </c>
      <c r="L50">
        <v>25</v>
      </c>
      <c r="M50">
        <v>148</v>
      </c>
      <c r="N50">
        <v>189</v>
      </c>
      <c r="O50">
        <v>4429</v>
      </c>
      <c r="P50">
        <v>2.7</v>
      </c>
      <c r="Q50">
        <v>1492</v>
      </c>
      <c r="R50">
        <v>6.5</v>
      </c>
      <c r="S50">
        <v>10</v>
      </c>
      <c r="T50">
        <v>1</v>
      </c>
      <c r="U50">
        <v>1</v>
      </c>
      <c r="V50">
        <v>555</v>
      </c>
      <c r="W50">
        <v>360</v>
      </c>
      <c r="X50">
        <v>142.59</v>
      </c>
      <c r="AH50">
        <v>59</v>
      </c>
      <c r="AI50">
        <v>7</v>
      </c>
      <c r="AJ50">
        <v>9</v>
      </c>
      <c r="AK50">
        <v>18</v>
      </c>
      <c r="AL50">
        <v>7</v>
      </c>
      <c r="AM50">
        <v>18</v>
      </c>
      <c r="AN50" t="s">
        <v>708</v>
      </c>
      <c r="AO50" t="s">
        <v>708</v>
      </c>
    </row>
    <row r="51" spans="1:41" x14ac:dyDescent="0.25">
      <c r="A51" t="s">
        <v>709</v>
      </c>
      <c r="B51" t="s">
        <v>300</v>
      </c>
      <c r="C51" t="s">
        <v>710</v>
      </c>
      <c r="D51">
        <f>ROUND(
  (
    --SUBSTITUTE(LEFT(C51,19),"T"," ")
    - DATE(1970,1,1)
  ) * 86400000,
  0
)</f>
        <v>1650925790000</v>
      </c>
      <c r="E51" t="str">
        <f>LEFT(D51,10) &amp; "." &amp; RIGHT(D51,3)</f>
        <v>1650925790.000</v>
      </c>
      <c r="F51" s="3">
        <f>(((E51/60)/60)/24)+DATE(1970,1,1)</f>
        <v>44676.937384259261</v>
      </c>
      <c r="G51" t="str">
        <f>_xlfn.XLOOKUP(
  WorkoutData[[#This Row],[gmailMessageId]],
  WorkoutData_old[gmailMessageId],
  WorkoutData_old[WorkoutType]
)</f>
        <v>3G</v>
      </c>
      <c r="H51" s="4">
        <v>0.72916666666666663</v>
      </c>
      <c r="I51" t="s">
        <v>431</v>
      </c>
      <c r="J51" t="s">
        <v>432</v>
      </c>
      <c r="K51">
        <v>839</v>
      </c>
      <c r="L51">
        <v>26</v>
      </c>
      <c r="M51">
        <v>149</v>
      </c>
      <c r="N51">
        <v>191</v>
      </c>
      <c r="O51">
        <v>3622</v>
      </c>
      <c r="P51">
        <v>1.84</v>
      </c>
      <c r="Q51">
        <v>927</v>
      </c>
      <c r="R51">
        <v>7.2</v>
      </c>
      <c r="S51">
        <v>10</v>
      </c>
      <c r="T51">
        <v>1</v>
      </c>
      <c r="U51">
        <v>1</v>
      </c>
      <c r="V51">
        <v>497</v>
      </c>
      <c r="W51">
        <v>360</v>
      </c>
      <c r="X51">
        <v>96.97</v>
      </c>
      <c r="AH51">
        <v>58</v>
      </c>
      <c r="AI51">
        <v>8</v>
      </c>
      <c r="AJ51">
        <v>7</v>
      </c>
      <c r="AK51">
        <v>17</v>
      </c>
      <c r="AL51">
        <v>13</v>
      </c>
      <c r="AM51">
        <v>13</v>
      </c>
      <c r="AN51" t="s">
        <v>711</v>
      </c>
      <c r="AO51" t="s">
        <v>711</v>
      </c>
    </row>
    <row r="52" spans="1:41" x14ac:dyDescent="0.25">
      <c r="A52" t="s">
        <v>511</v>
      </c>
      <c r="B52" t="s">
        <v>298</v>
      </c>
      <c r="C52" t="s">
        <v>512</v>
      </c>
      <c r="D52">
        <f>ROUND(
  (
    --SUBSTITUTE(LEFT(C52,19),"T"," ")
    - DATE(1970,1,1)
  ) * 86400000,
  0
)</f>
        <v>1651266807000</v>
      </c>
      <c r="E52" t="str">
        <f>LEFT(D52,10) &amp; "." &amp; RIGHT(D52,3)</f>
        <v>1651266807.000</v>
      </c>
      <c r="F52" s="3">
        <f>(((E52/60)/60)/24)+DATE(1970,1,1)</f>
        <v>44680.884340277778</v>
      </c>
      <c r="G52" t="str">
        <f>_xlfn.XLOOKUP(
  WorkoutData[[#This Row],[gmailMessageId]],
  WorkoutData_old[gmailMessageId],
  WorkoutData_old[WorkoutType]
)</f>
        <v>2G</v>
      </c>
      <c r="H52" s="4">
        <v>0.67708333333333337</v>
      </c>
      <c r="I52" t="s">
        <v>431</v>
      </c>
      <c r="J52" t="s">
        <v>509</v>
      </c>
      <c r="K52">
        <v>725</v>
      </c>
      <c r="L52">
        <v>23</v>
      </c>
      <c r="M52">
        <v>138</v>
      </c>
      <c r="N52">
        <v>187</v>
      </c>
      <c r="O52">
        <v>4733</v>
      </c>
      <c r="P52">
        <v>2.68</v>
      </c>
      <c r="Q52">
        <v>1552</v>
      </c>
      <c r="R52">
        <v>6.2</v>
      </c>
      <c r="S52">
        <v>11</v>
      </c>
      <c r="T52">
        <v>2.4</v>
      </c>
      <c r="U52">
        <v>7</v>
      </c>
      <c r="V52">
        <v>580</v>
      </c>
      <c r="W52">
        <v>327</v>
      </c>
      <c r="X52">
        <v>333</v>
      </c>
      <c r="AH52">
        <v>56</v>
      </c>
      <c r="AI52">
        <v>16</v>
      </c>
      <c r="AJ52">
        <v>6</v>
      </c>
      <c r="AK52">
        <v>11</v>
      </c>
      <c r="AL52">
        <v>8</v>
      </c>
      <c r="AM52">
        <v>15</v>
      </c>
      <c r="AN52" t="s">
        <v>513</v>
      </c>
      <c r="AO52" t="s">
        <v>513</v>
      </c>
    </row>
    <row r="53" spans="1:41" x14ac:dyDescent="0.25">
      <c r="A53" t="s">
        <v>630</v>
      </c>
      <c r="B53" t="s">
        <v>296</v>
      </c>
      <c r="C53" t="s">
        <v>631</v>
      </c>
      <c r="D53">
        <f>ROUND(
  (
    --SUBSTITUTE(LEFT(C53,19),"T"," ")
    - DATE(1970,1,1)
  ) * 86400000,
  0
)</f>
        <v>1651530754000</v>
      </c>
      <c r="E53" t="str">
        <f>LEFT(D53,10) &amp; "." &amp; RIGHT(D53,3)</f>
        <v>1651530754.000</v>
      </c>
      <c r="F53" s="3">
        <f>(((E53/60)/60)/24)+DATE(1970,1,1)</f>
        <v>44683.939282407402</v>
      </c>
      <c r="G53" t="str">
        <f>_xlfn.XLOOKUP(
  WorkoutData[[#This Row],[gmailMessageId]],
  WorkoutData_old[gmailMessageId],
  WorkoutData_old[WorkoutType]
)</f>
        <v>3G</v>
      </c>
      <c r="H53" s="4">
        <v>0.72916666666666663</v>
      </c>
      <c r="I53" t="s">
        <v>431</v>
      </c>
      <c r="J53" t="s">
        <v>432</v>
      </c>
      <c r="K53">
        <v>801</v>
      </c>
      <c r="L53">
        <v>15</v>
      </c>
      <c r="M53">
        <v>141</v>
      </c>
      <c r="N53">
        <v>183</v>
      </c>
      <c r="O53">
        <v>3383</v>
      </c>
      <c r="P53">
        <v>1.65</v>
      </c>
      <c r="Q53">
        <v>1007</v>
      </c>
      <c r="R53">
        <v>6</v>
      </c>
      <c r="S53">
        <v>9</v>
      </c>
      <c r="T53">
        <v>2.2000000000000002</v>
      </c>
      <c r="U53">
        <v>5</v>
      </c>
      <c r="V53">
        <v>603</v>
      </c>
      <c r="W53">
        <v>400</v>
      </c>
      <c r="X53">
        <v>195.1</v>
      </c>
      <c r="AH53">
        <v>59</v>
      </c>
      <c r="AI53">
        <v>8</v>
      </c>
      <c r="AJ53">
        <v>9</v>
      </c>
      <c r="AK53">
        <v>27</v>
      </c>
      <c r="AL53">
        <v>11</v>
      </c>
      <c r="AM53">
        <v>4</v>
      </c>
      <c r="AN53" t="s">
        <v>632</v>
      </c>
      <c r="AO53" t="s">
        <v>632</v>
      </c>
    </row>
    <row r="54" spans="1:41" x14ac:dyDescent="0.25">
      <c r="A54" t="s">
        <v>974</v>
      </c>
      <c r="B54" t="s">
        <v>294</v>
      </c>
      <c r="C54" t="s">
        <v>975</v>
      </c>
      <c r="D54">
        <f>ROUND(
  (
    --SUBSTITUTE(LEFT(C54,19),"T"," ")
    - DATE(1970,1,1)
  ) * 86400000,
  0
)</f>
        <v>1651703882000</v>
      </c>
      <c r="E54" t="str">
        <f>LEFT(D54,10) &amp; "." &amp; RIGHT(D54,3)</f>
        <v>1651703882.000</v>
      </c>
      <c r="F54" s="3">
        <f>(((E54/60)/60)/24)+DATE(1970,1,1)</f>
        <v>44685.943078703705</v>
      </c>
      <c r="G54" t="str">
        <f>_xlfn.XLOOKUP(
  WorkoutData[[#This Row],[gmailMessageId]],
  WorkoutData_old[gmailMessageId],
  WorkoutData_old[WorkoutType]
)</f>
        <v>2G</v>
      </c>
      <c r="H54" s="4">
        <v>0.72916666666666663</v>
      </c>
      <c r="I54" t="s">
        <v>431</v>
      </c>
      <c r="J54" t="s">
        <v>441</v>
      </c>
      <c r="K54">
        <v>932</v>
      </c>
      <c r="L54">
        <v>27</v>
      </c>
      <c r="M54">
        <v>151</v>
      </c>
      <c r="N54">
        <v>188</v>
      </c>
      <c r="O54">
        <v>4399</v>
      </c>
      <c r="P54">
        <v>3.11</v>
      </c>
      <c r="Q54">
        <v>1730</v>
      </c>
      <c r="R54">
        <v>6.5</v>
      </c>
      <c r="S54">
        <v>12</v>
      </c>
      <c r="T54">
        <v>1</v>
      </c>
      <c r="U54">
        <v>1</v>
      </c>
      <c r="V54">
        <v>558</v>
      </c>
      <c r="W54">
        <v>300</v>
      </c>
      <c r="X54">
        <v>162.88999999999999</v>
      </c>
      <c r="AH54">
        <v>63</v>
      </c>
      <c r="AI54">
        <v>3</v>
      </c>
      <c r="AJ54">
        <v>11</v>
      </c>
      <c r="AK54">
        <v>22</v>
      </c>
      <c r="AL54">
        <v>18</v>
      </c>
      <c r="AM54">
        <v>9</v>
      </c>
      <c r="AN54" t="s">
        <v>976</v>
      </c>
      <c r="AO54" t="s">
        <v>976</v>
      </c>
    </row>
    <row r="55" spans="1:41" x14ac:dyDescent="0.25">
      <c r="A55" t="s">
        <v>744</v>
      </c>
      <c r="B55" t="s">
        <v>292</v>
      </c>
      <c r="C55" t="s">
        <v>745</v>
      </c>
      <c r="D55">
        <f>ROUND(
  (
    --SUBSTITUTE(LEFT(C55,19),"T"," ")
    - DATE(1970,1,1)
  ) * 86400000,
  0
)</f>
        <v>1651871856000</v>
      </c>
      <c r="E55" t="str">
        <f>LEFT(D55,10) &amp; "." &amp; RIGHT(D55,3)</f>
        <v>1651871856.000</v>
      </c>
      <c r="F55" s="3">
        <f>(((E55/60)/60)/24)+DATE(1970,1,1)</f>
        <v>44687.887222222227</v>
      </c>
      <c r="G55" t="str">
        <f>_xlfn.XLOOKUP(
  WorkoutData[[#This Row],[gmailMessageId]],
  WorkoutData_old[gmailMessageId],
  WorkoutData_old[WorkoutType]
)</f>
        <v>2G</v>
      </c>
      <c r="H55" s="4">
        <v>0.67708333333333337</v>
      </c>
      <c r="I55" t="s">
        <v>431</v>
      </c>
      <c r="J55" t="s">
        <v>509</v>
      </c>
      <c r="K55">
        <v>848</v>
      </c>
      <c r="L55">
        <v>18</v>
      </c>
      <c r="M55">
        <v>147</v>
      </c>
      <c r="N55">
        <v>184</v>
      </c>
      <c r="O55">
        <v>2954</v>
      </c>
      <c r="P55">
        <v>1.9</v>
      </c>
      <c r="Q55">
        <v>1162</v>
      </c>
      <c r="R55">
        <v>5.9</v>
      </c>
      <c r="S55">
        <v>12</v>
      </c>
      <c r="T55">
        <v>1</v>
      </c>
      <c r="U55">
        <v>1</v>
      </c>
      <c r="V55">
        <v>611</v>
      </c>
      <c r="W55">
        <v>300</v>
      </c>
      <c r="X55">
        <v>100.49</v>
      </c>
      <c r="AH55">
        <v>60</v>
      </c>
      <c r="AI55">
        <v>3</v>
      </c>
      <c r="AJ55">
        <v>11</v>
      </c>
      <c r="AK55">
        <v>28</v>
      </c>
      <c r="AL55">
        <v>15</v>
      </c>
      <c r="AM55">
        <v>3</v>
      </c>
      <c r="AN55" t="s">
        <v>746</v>
      </c>
      <c r="AO55" t="s">
        <v>746</v>
      </c>
    </row>
    <row r="56" spans="1:41" x14ac:dyDescent="0.25">
      <c r="A56" t="s">
        <v>664</v>
      </c>
      <c r="B56" t="s">
        <v>290</v>
      </c>
      <c r="C56" t="s">
        <v>665</v>
      </c>
      <c r="D56">
        <f>ROUND(
  (
    --SUBSTITUTE(LEFT(C56,19),"T"," ")
    - DATE(1970,1,1)
  ) * 86400000,
  0
)</f>
        <v>1652136261000</v>
      </c>
      <c r="E56" t="str">
        <f>LEFT(D56,10) &amp; "." &amp; RIGHT(D56,3)</f>
        <v>1652136261.000</v>
      </c>
      <c r="F56" s="3">
        <f>(((E56/60)/60)/24)+DATE(1970,1,1)</f>
        <v>44690.947465277779</v>
      </c>
      <c r="G56" t="str">
        <f>_xlfn.XLOOKUP(
  WorkoutData[[#This Row],[gmailMessageId]],
  WorkoutData_old[gmailMessageId],
  WorkoutData_old[WorkoutType]
)</f>
        <v>3G</v>
      </c>
      <c r="H56" s="4">
        <v>0.72916666666666663</v>
      </c>
      <c r="I56" t="s">
        <v>431</v>
      </c>
      <c r="J56" t="s">
        <v>432</v>
      </c>
      <c r="K56">
        <v>826</v>
      </c>
      <c r="L56">
        <v>19</v>
      </c>
      <c r="M56">
        <v>143</v>
      </c>
      <c r="N56">
        <v>186</v>
      </c>
      <c r="O56">
        <v>3815</v>
      </c>
      <c r="P56">
        <v>1.49</v>
      </c>
      <c r="Q56">
        <v>980</v>
      </c>
      <c r="R56">
        <v>5.5</v>
      </c>
      <c r="S56">
        <v>10</v>
      </c>
      <c r="T56">
        <v>6.3</v>
      </c>
      <c r="U56">
        <v>15</v>
      </c>
      <c r="V56">
        <v>656</v>
      </c>
      <c r="W56">
        <v>360</v>
      </c>
      <c r="X56">
        <v>498.2</v>
      </c>
      <c r="AH56">
        <v>61</v>
      </c>
      <c r="AI56">
        <v>7</v>
      </c>
      <c r="AJ56">
        <v>13</v>
      </c>
      <c r="AK56">
        <v>22</v>
      </c>
      <c r="AL56">
        <v>9</v>
      </c>
      <c r="AM56">
        <v>10</v>
      </c>
      <c r="AN56" t="s">
        <v>666</v>
      </c>
      <c r="AO56" t="s">
        <v>666</v>
      </c>
    </row>
    <row r="57" spans="1:41" x14ac:dyDescent="0.25">
      <c r="A57" t="s">
        <v>954</v>
      </c>
      <c r="B57" t="s">
        <v>288</v>
      </c>
      <c r="C57" t="s">
        <v>955</v>
      </c>
      <c r="D57">
        <f>ROUND(
  (
    --SUBSTITUTE(LEFT(C57,19),"T"," ")
    - DATE(1970,1,1)
  ) * 86400000,
  0
)</f>
        <v>1652308311000</v>
      </c>
      <c r="E57" t="str">
        <f>LEFT(D57,10) &amp; "." &amp; RIGHT(D57,3)</f>
        <v>1652308311.000</v>
      </c>
      <c r="F57" s="3">
        <f>(((E57/60)/60)/24)+DATE(1970,1,1)</f>
        <v>44692.938784722224</v>
      </c>
      <c r="G57" t="str">
        <f>_xlfn.XLOOKUP(
  WorkoutData[[#This Row],[gmailMessageId]],
  WorkoutData_old[gmailMessageId],
  WorkoutData_old[WorkoutType]
)</f>
        <v>2G</v>
      </c>
      <c r="H57" s="4">
        <v>0.72916666666666663</v>
      </c>
      <c r="I57" t="s">
        <v>431</v>
      </c>
      <c r="J57" t="s">
        <v>441</v>
      </c>
      <c r="K57">
        <v>922</v>
      </c>
      <c r="L57">
        <v>28</v>
      </c>
      <c r="M57">
        <v>153</v>
      </c>
      <c r="N57">
        <v>183</v>
      </c>
      <c r="O57">
        <v>4954</v>
      </c>
      <c r="P57">
        <v>3.11</v>
      </c>
      <c r="Q57">
        <v>1743</v>
      </c>
      <c r="R57">
        <v>6.4</v>
      </c>
      <c r="S57">
        <v>10</v>
      </c>
      <c r="T57">
        <v>2.5</v>
      </c>
      <c r="U57">
        <v>8</v>
      </c>
      <c r="V57">
        <v>560</v>
      </c>
      <c r="W57">
        <v>360</v>
      </c>
      <c r="X57">
        <v>418.9</v>
      </c>
      <c r="AH57">
        <v>61</v>
      </c>
      <c r="AI57">
        <v>3</v>
      </c>
      <c r="AJ57">
        <v>7</v>
      </c>
      <c r="AK57">
        <v>23</v>
      </c>
      <c r="AL57">
        <v>19</v>
      </c>
      <c r="AM57">
        <v>9</v>
      </c>
      <c r="AN57" t="s">
        <v>956</v>
      </c>
      <c r="AO57" t="s">
        <v>956</v>
      </c>
    </row>
    <row r="58" spans="1:41" x14ac:dyDescent="0.25">
      <c r="A58" t="s">
        <v>703</v>
      </c>
      <c r="B58" t="s">
        <v>286</v>
      </c>
      <c r="C58" t="s">
        <v>704</v>
      </c>
      <c r="D58">
        <f>ROUND(
  (
    --SUBSTITUTE(LEFT(C58,19),"T"," ")
    - DATE(1970,1,1)
  ) * 86400000,
  0
)</f>
        <v>1653517912000</v>
      </c>
      <c r="E58" t="str">
        <f>LEFT(D58,10) &amp; "." &amp; RIGHT(D58,3)</f>
        <v>1653517912.000</v>
      </c>
      <c r="F58" s="3">
        <f>(((E58/60)/60)/24)+DATE(1970,1,1)</f>
        <v>44706.938796296294</v>
      </c>
      <c r="G58" t="str">
        <f>_xlfn.XLOOKUP(
  WorkoutData[[#This Row],[gmailMessageId]],
  WorkoutData_old[gmailMessageId],
  WorkoutData_old[WorkoutType]
)</f>
        <v>2G</v>
      </c>
      <c r="H58" s="4">
        <v>0.72916666666666663</v>
      </c>
      <c r="I58" t="s">
        <v>431</v>
      </c>
      <c r="J58" t="s">
        <v>441</v>
      </c>
      <c r="K58">
        <v>838</v>
      </c>
      <c r="L58">
        <v>28</v>
      </c>
      <c r="M58">
        <v>143</v>
      </c>
      <c r="N58">
        <v>188</v>
      </c>
      <c r="O58">
        <v>4499</v>
      </c>
      <c r="P58">
        <v>2.4500000000000002</v>
      </c>
      <c r="Q58">
        <v>1552</v>
      </c>
      <c r="R58">
        <v>5.7</v>
      </c>
      <c r="S58">
        <v>12</v>
      </c>
      <c r="T58">
        <v>2.4</v>
      </c>
      <c r="U58">
        <v>7</v>
      </c>
      <c r="V58">
        <v>631</v>
      </c>
      <c r="W58">
        <v>300</v>
      </c>
      <c r="X58">
        <v>311.77</v>
      </c>
      <c r="AH58">
        <v>63</v>
      </c>
      <c r="AI58">
        <v>13</v>
      </c>
      <c r="AJ58">
        <v>3</v>
      </c>
      <c r="AK58">
        <v>19</v>
      </c>
      <c r="AL58">
        <v>17</v>
      </c>
      <c r="AM58">
        <v>11</v>
      </c>
      <c r="AN58" t="s">
        <v>705</v>
      </c>
      <c r="AO58" t="s">
        <v>705</v>
      </c>
    </row>
    <row r="59" spans="1:41" x14ac:dyDescent="0.25">
      <c r="A59" t="s">
        <v>649</v>
      </c>
      <c r="B59" t="s">
        <v>284</v>
      </c>
      <c r="C59" t="s">
        <v>650</v>
      </c>
      <c r="D59">
        <f>ROUND(
  (
    --SUBSTITUTE(LEFT(C59,19),"T"," ")
    - DATE(1970,1,1)
  ) * 86400000,
  0
)</f>
        <v>1653690545000</v>
      </c>
      <c r="E59" t="str">
        <f>LEFT(D59,10) &amp; "." &amp; RIGHT(D59,3)</f>
        <v>1653690545.000</v>
      </c>
      <c r="F59" s="3">
        <f>(((E59/60)/60)/24)+DATE(1970,1,1)</f>
        <v>44708.93686342593</v>
      </c>
      <c r="G59" t="str">
        <f>_xlfn.XLOOKUP(
  WorkoutData[[#This Row],[gmailMessageId]],
  WorkoutData_old[gmailMessageId],
  WorkoutData_old[WorkoutType]
)</f>
        <v>2G</v>
      </c>
      <c r="H59" s="4">
        <v>0.72916666666666663</v>
      </c>
      <c r="I59" t="s">
        <v>431</v>
      </c>
      <c r="J59" t="s">
        <v>509</v>
      </c>
      <c r="K59">
        <v>813</v>
      </c>
      <c r="L59">
        <v>21</v>
      </c>
      <c r="M59">
        <v>150</v>
      </c>
      <c r="N59">
        <v>182</v>
      </c>
      <c r="O59">
        <v>2792</v>
      </c>
      <c r="P59">
        <v>1.81</v>
      </c>
      <c r="Q59">
        <v>1093</v>
      </c>
      <c r="R59">
        <v>6</v>
      </c>
      <c r="S59">
        <v>10</v>
      </c>
      <c r="T59">
        <v>1.9</v>
      </c>
      <c r="U59">
        <v>9</v>
      </c>
      <c r="V59">
        <v>601</v>
      </c>
      <c r="W59">
        <v>360</v>
      </c>
      <c r="X59">
        <v>180.87</v>
      </c>
      <c r="AH59">
        <v>56</v>
      </c>
      <c r="AI59">
        <v>2</v>
      </c>
      <c r="AJ59">
        <v>8</v>
      </c>
      <c r="AK59">
        <v>25</v>
      </c>
      <c r="AL59">
        <v>15</v>
      </c>
      <c r="AM59">
        <v>6</v>
      </c>
      <c r="AN59" t="s">
        <v>651</v>
      </c>
      <c r="AO59" t="s">
        <v>651</v>
      </c>
    </row>
    <row r="60" spans="1:41" x14ac:dyDescent="0.25">
      <c r="A60" t="s">
        <v>997</v>
      </c>
      <c r="B60" t="s">
        <v>282</v>
      </c>
      <c r="C60" t="s">
        <v>998</v>
      </c>
      <c r="D60">
        <f>ROUND(
  (
    --SUBSTITUTE(LEFT(C60,19),"T"," ")
    - DATE(1970,1,1)
  ) * 86400000,
  0
)</f>
        <v>1654123478000</v>
      </c>
      <c r="E60" t="str">
        <f>LEFT(D60,10) &amp; "." &amp; RIGHT(D60,3)</f>
        <v>1654123478.000</v>
      </c>
      <c r="F60" s="3">
        <f>(((E60/60)/60)/24)+DATE(1970,1,1)</f>
        <v>44713.947662037041</v>
      </c>
      <c r="G60" t="str">
        <f>_xlfn.XLOOKUP(
  WorkoutData[[#This Row],[gmailMessageId]],
  WorkoutData_old[gmailMessageId],
  WorkoutData_old[WorkoutType]
)</f>
        <v>2G</v>
      </c>
      <c r="H60" s="4">
        <v>0.72916666666666663</v>
      </c>
      <c r="I60" t="s">
        <v>431</v>
      </c>
      <c r="J60" t="s">
        <v>441</v>
      </c>
      <c r="K60">
        <v>941</v>
      </c>
      <c r="L60">
        <v>27</v>
      </c>
      <c r="M60">
        <v>145</v>
      </c>
      <c r="N60">
        <v>188</v>
      </c>
      <c r="O60">
        <v>4353</v>
      </c>
      <c r="P60">
        <v>3.17</v>
      </c>
      <c r="Q60">
        <v>1636</v>
      </c>
      <c r="R60">
        <v>7</v>
      </c>
      <c r="S60">
        <v>11</v>
      </c>
      <c r="T60">
        <v>1</v>
      </c>
      <c r="U60">
        <v>1</v>
      </c>
      <c r="V60">
        <v>516</v>
      </c>
      <c r="W60">
        <v>327</v>
      </c>
      <c r="X60">
        <v>167.05</v>
      </c>
      <c r="AH60">
        <v>69</v>
      </c>
      <c r="AI60">
        <v>9</v>
      </c>
      <c r="AJ60">
        <v>17</v>
      </c>
      <c r="AK60">
        <v>16</v>
      </c>
      <c r="AL60">
        <v>12</v>
      </c>
      <c r="AM60">
        <v>15</v>
      </c>
      <c r="AN60" t="s">
        <v>999</v>
      </c>
      <c r="AO60" t="s">
        <v>999</v>
      </c>
    </row>
    <row r="61" spans="1:41" x14ac:dyDescent="0.25">
      <c r="A61" t="s">
        <v>514</v>
      </c>
      <c r="B61" t="s">
        <v>280</v>
      </c>
      <c r="C61" t="s">
        <v>515</v>
      </c>
      <c r="D61">
        <f>ROUND(
  (
    --SUBSTITUTE(LEFT(C61,19),"T"," ")
    - DATE(1970,1,1)
  ) * 86400000,
  0
)</f>
        <v>1654554567000</v>
      </c>
      <c r="E61" t="str">
        <f>LEFT(D61,10) &amp; "." &amp; RIGHT(D61,3)</f>
        <v>1654554567.000</v>
      </c>
      <c r="F61" s="3">
        <f>(((E61/60)/60)/24)+DATE(1970,1,1)</f>
        <v>44718.937118055561</v>
      </c>
      <c r="G61" t="str">
        <f>_xlfn.XLOOKUP(
  WorkoutData[[#This Row],[gmailMessageId]],
  WorkoutData_old[gmailMessageId],
  WorkoutData_old[WorkoutType]
)</f>
        <v>3G</v>
      </c>
      <c r="H61" s="4">
        <v>0.72916666666666663</v>
      </c>
      <c r="I61" t="s">
        <v>431</v>
      </c>
      <c r="J61" t="s">
        <v>432</v>
      </c>
      <c r="K61">
        <v>727</v>
      </c>
      <c r="L61">
        <v>14</v>
      </c>
      <c r="M61">
        <v>136</v>
      </c>
      <c r="N61">
        <v>179</v>
      </c>
      <c r="O61">
        <v>3103</v>
      </c>
      <c r="P61">
        <v>1.4</v>
      </c>
      <c r="Q61">
        <v>711</v>
      </c>
      <c r="R61">
        <v>6.9</v>
      </c>
      <c r="S61">
        <v>12</v>
      </c>
      <c r="T61">
        <v>1</v>
      </c>
      <c r="U61">
        <v>1</v>
      </c>
      <c r="V61">
        <v>521</v>
      </c>
      <c r="W61">
        <v>300</v>
      </c>
      <c r="X61">
        <v>72.7</v>
      </c>
      <c r="AH61">
        <v>57</v>
      </c>
      <c r="AI61">
        <v>12</v>
      </c>
      <c r="AJ61">
        <v>10</v>
      </c>
      <c r="AK61">
        <v>21</v>
      </c>
      <c r="AL61">
        <v>13</v>
      </c>
      <c r="AM61">
        <v>1</v>
      </c>
      <c r="AN61" t="s">
        <v>516</v>
      </c>
      <c r="AO61" t="s">
        <v>516</v>
      </c>
    </row>
    <row r="62" spans="1:41" x14ac:dyDescent="0.25">
      <c r="A62" t="s">
        <v>822</v>
      </c>
      <c r="B62" t="s">
        <v>278</v>
      </c>
      <c r="C62" t="s">
        <v>823</v>
      </c>
      <c r="D62">
        <f>ROUND(
  (
    --SUBSTITUTE(LEFT(C62,19),"T"," ")
    - DATE(1970,1,1)
  ) * 86400000,
  0
)</f>
        <v>1654727451000</v>
      </c>
      <c r="E62" t="str">
        <f>LEFT(D62,10) &amp; "." &amp; RIGHT(D62,3)</f>
        <v>1654727451.000</v>
      </c>
      <c r="F62" s="3">
        <f>(((E62/60)/60)/24)+DATE(1970,1,1)</f>
        <v>44720.938090277778</v>
      </c>
      <c r="G62" t="str">
        <f>_xlfn.XLOOKUP(
  WorkoutData[[#This Row],[gmailMessageId]],
  WorkoutData_old[gmailMessageId],
  WorkoutData_old[WorkoutType]
)</f>
        <v>2G</v>
      </c>
      <c r="H62" s="4">
        <v>0.72916666666666663</v>
      </c>
      <c r="I62" t="s">
        <v>431</v>
      </c>
      <c r="J62" t="s">
        <v>441</v>
      </c>
      <c r="K62">
        <v>869</v>
      </c>
      <c r="L62">
        <v>27</v>
      </c>
      <c r="M62">
        <v>153</v>
      </c>
      <c r="N62">
        <v>188</v>
      </c>
      <c r="O62">
        <v>4486</v>
      </c>
      <c r="P62">
        <v>3.3</v>
      </c>
      <c r="Q62">
        <v>1543</v>
      </c>
      <c r="R62">
        <v>7.7</v>
      </c>
      <c r="S62">
        <v>10</v>
      </c>
      <c r="T62">
        <v>1</v>
      </c>
      <c r="U62">
        <v>1</v>
      </c>
      <c r="V62">
        <v>469</v>
      </c>
      <c r="W62">
        <v>360</v>
      </c>
      <c r="X62">
        <v>173.98</v>
      </c>
      <c r="AH62">
        <v>57</v>
      </c>
      <c r="AI62">
        <v>6</v>
      </c>
      <c r="AJ62">
        <v>8</v>
      </c>
      <c r="AK62">
        <v>16</v>
      </c>
      <c r="AL62">
        <v>7</v>
      </c>
      <c r="AM62">
        <v>20</v>
      </c>
      <c r="AN62" t="s">
        <v>824</v>
      </c>
      <c r="AO62" t="s">
        <v>824</v>
      </c>
    </row>
    <row r="63" spans="1:41" x14ac:dyDescent="0.25">
      <c r="A63" t="s">
        <v>478</v>
      </c>
      <c r="B63" t="s">
        <v>276</v>
      </c>
      <c r="C63" t="s">
        <v>479</v>
      </c>
      <c r="D63">
        <f>ROUND(
  (
    --SUBSTITUTE(LEFT(C63,19),"T"," ")
    - DATE(1970,1,1)
  ) * 86400000,
  0
)</f>
        <v>1655418519000</v>
      </c>
      <c r="E63" t="str">
        <f>LEFT(D63,10) &amp; "." &amp; RIGHT(D63,3)</f>
        <v>1655418519.000</v>
      </c>
      <c r="F63" s="3">
        <f>(((E63/60)/60)/24)+DATE(1970,1,1)</f>
        <v>44728.936562499999</v>
      </c>
      <c r="G63" t="str">
        <f>_xlfn.XLOOKUP(
  WorkoutData[[#This Row],[gmailMessageId]],
  WorkoutData_old[gmailMessageId],
  WorkoutData_old[WorkoutType]
)</f>
        <v>2G</v>
      </c>
      <c r="H63" s="4">
        <v>0.72916666666666663</v>
      </c>
      <c r="I63" t="s">
        <v>431</v>
      </c>
      <c r="J63" t="s">
        <v>441</v>
      </c>
      <c r="K63">
        <v>676</v>
      </c>
      <c r="L63">
        <v>15</v>
      </c>
      <c r="M63">
        <v>144</v>
      </c>
      <c r="N63">
        <v>182</v>
      </c>
      <c r="O63">
        <v>3749</v>
      </c>
      <c r="P63">
        <v>2.36</v>
      </c>
      <c r="Q63">
        <v>1541</v>
      </c>
      <c r="R63">
        <v>5.5</v>
      </c>
      <c r="S63">
        <v>9</v>
      </c>
      <c r="T63">
        <v>3.3</v>
      </c>
      <c r="U63">
        <v>8</v>
      </c>
      <c r="V63">
        <v>648</v>
      </c>
      <c r="W63">
        <v>400</v>
      </c>
      <c r="X63">
        <v>406.42</v>
      </c>
      <c r="AH63">
        <v>49</v>
      </c>
      <c r="AI63">
        <v>5</v>
      </c>
      <c r="AJ63">
        <v>12</v>
      </c>
      <c r="AK63">
        <v>17</v>
      </c>
      <c r="AL63">
        <v>12</v>
      </c>
      <c r="AM63">
        <v>3</v>
      </c>
      <c r="AN63" t="s">
        <v>480</v>
      </c>
      <c r="AO63" t="s">
        <v>480</v>
      </c>
    </row>
    <row r="64" spans="1:41" x14ac:dyDescent="0.25">
      <c r="A64" t="s">
        <v>484</v>
      </c>
      <c r="B64" t="s">
        <v>274</v>
      </c>
      <c r="C64" t="s">
        <v>485</v>
      </c>
      <c r="D64">
        <f>ROUND(
  (
    --SUBSTITUTE(LEFT(C64,19),"T"," ")
    - DATE(1970,1,1)
  ) * 86400000,
  0
)</f>
        <v>1655932429000</v>
      </c>
      <c r="E64" t="str">
        <f>LEFT(D64,10) &amp; "." &amp; RIGHT(D64,3)</f>
        <v>1655932429.000</v>
      </c>
      <c r="F64" s="3">
        <f>(((E64/60)/60)/24)+DATE(1970,1,1)</f>
        <v>44734.884594907402</v>
      </c>
      <c r="G64" t="str">
        <f>_xlfn.XLOOKUP(
  WorkoutData[[#This Row],[gmailMessageId]],
  WorkoutData_old[gmailMessageId],
  WorkoutData_old[WorkoutType]
)</f>
        <v>2G</v>
      </c>
      <c r="H64" s="4">
        <v>0.67708333333333337</v>
      </c>
      <c r="I64" t="s">
        <v>431</v>
      </c>
      <c r="J64" t="s">
        <v>476</v>
      </c>
      <c r="K64">
        <v>694</v>
      </c>
      <c r="L64">
        <v>19</v>
      </c>
      <c r="M64">
        <v>137</v>
      </c>
      <c r="N64">
        <v>179</v>
      </c>
      <c r="O64">
        <v>3778</v>
      </c>
      <c r="P64">
        <v>2.71</v>
      </c>
      <c r="Q64">
        <v>1572</v>
      </c>
      <c r="R64">
        <v>6.2</v>
      </c>
      <c r="S64">
        <v>10</v>
      </c>
      <c r="T64">
        <v>2.2000000000000002</v>
      </c>
      <c r="U64">
        <v>6</v>
      </c>
      <c r="V64">
        <v>580</v>
      </c>
      <c r="W64">
        <v>360</v>
      </c>
      <c r="X64">
        <v>309.60000000000002</v>
      </c>
      <c r="AH64">
        <v>54</v>
      </c>
      <c r="AI64">
        <v>15</v>
      </c>
      <c r="AJ64">
        <v>10</v>
      </c>
      <c r="AK64">
        <v>10</v>
      </c>
      <c r="AL64">
        <v>15</v>
      </c>
      <c r="AM64">
        <v>4</v>
      </c>
      <c r="AN64" t="s">
        <v>486</v>
      </c>
      <c r="AO64" t="s">
        <v>486</v>
      </c>
    </row>
    <row r="65" spans="1:41" x14ac:dyDescent="0.25">
      <c r="A65" t="s">
        <v>890</v>
      </c>
      <c r="B65" t="s">
        <v>272</v>
      </c>
      <c r="C65" t="s">
        <v>891</v>
      </c>
      <c r="D65">
        <f>ROUND(
  (
    --SUBSTITUTE(LEFT(C65,19),"T"," ")
    - DATE(1970,1,1)
  ) * 86400000,
  0
)</f>
        <v>1656105186000</v>
      </c>
      <c r="E65" t="str">
        <f>LEFT(D65,10) &amp; "." &amp; RIGHT(D65,3)</f>
        <v>1656105186.000</v>
      </c>
      <c r="F65" s="3">
        <f>(((E65/60)/60)/24)+DATE(1970,1,1)</f>
        <v>44736.884097222224</v>
      </c>
      <c r="G65" t="str">
        <f>_xlfn.XLOOKUP(
  WorkoutData[[#This Row],[gmailMessageId]],
  WorkoutData_old[gmailMessageId],
  WorkoutData_old[WorkoutType]
)</f>
        <v>2G</v>
      </c>
      <c r="H65" s="4">
        <v>0.67708333333333337</v>
      </c>
      <c r="I65" t="s">
        <v>431</v>
      </c>
      <c r="J65" t="s">
        <v>509</v>
      </c>
      <c r="K65">
        <v>894</v>
      </c>
      <c r="L65">
        <v>34</v>
      </c>
      <c r="M65">
        <v>160</v>
      </c>
      <c r="N65">
        <v>188</v>
      </c>
      <c r="O65">
        <v>4309</v>
      </c>
      <c r="P65">
        <v>2.92</v>
      </c>
      <c r="Q65">
        <v>1599</v>
      </c>
      <c r="R65">
        <v>6.5</v>
      </c>
      <c r="S65">
        <v>12</v>
      </c>
      <c r="T65">
        <v>1</v>
      </c>
      <c r="U65">
        <v>1</v>
      </c>
      <c r="V65">
        <v>552</v>
      </c>
      <c r="W65">
        <v>300</v>
      </c>
      <c r="X65">
        <v>153.69999999999999</v>
      </c>
      <c r="AH65">
        <v>56</v>
      </c>
      <c r="AI65">
        <v>1</v>
      </c>
      <c r="AJ65">
        <v>2</v>
      </c>
      <c r="AK65">
        <v>19</v>
      </c>
      <c r="AL65">
        <v>23</v>
      </c>
      <c r="AM65">
        <v>11</v>
      </c>
      <c r="AN65" t="s">
        <v>892</v>
      </c>
      <c r="AO65" t="s">
        <v>892</v>
      </c>
    </row>
    <row r="66" spans="1:41" x14ac:dyDescent="0.25">
      <c r="A66" t="s">
        <v>574</v>
      </c>
      <c r="B66" t="s">
        <v>270</v>
      </c>
      <c r="C66" t="s">
        <v>575</v>
      </c>
      <c r="D66">
        <f>ROUND(
  (
    --SUBSTITUTE(LEFT(C66,19),"T"," ")
    - DATE(1970,1,1)
  ) * 86400000,
  0
)</f>
        <v>1656623595000</v>
      </c>
      <c r="E66" t="str">
        <f>LEFT(D66,10) &amp; "." &amp; RIGHT(D66,3)</f>
        <v>1656623595.000</v>
      </c>
      <c r="F66" s="3">
        <f>(((E66/60)/60)/24)+DATE(1970,1,1)</f>
        <v>44742.884201388893</v>
      </c>
      <c r="G66" t="str">
        <f>_xlfn.XLOOKUP(
  WorkoutData[[#This Row],[gmailMessageId]],
  WorkoutData_old[gmailMessageId],
  WorkoutData_old[WorkoutType]
)</f>
        <v>2G</v>
      </c>
      <c r="H66" s="4">
        <v>0.67708333333333337</v>
      </c>
      <c r="I66" t="s">
        <v>431</v>
      </c>
      <c r="J66" t="s">
        <v>476</v>
      </c>
      <c r="K66">
        <v>777</v>
      </c>
      <c r="L66">
        <v>22</v>
      </c>
      <c r="M66">
        <v>148</v>
      </c>
      <c r="N66">
        <v>186</v>
      </c>
      <c r="O66">
        <v>4227</v>
      </c>
      <c r="P66">
        <v>2.82</v>
      </c>
      <c r="Q66">
        <v>1474</v>
      </c>
      <c r="R66">
        <v>6.8</v>
      </c>
      <c r="S66">
        <v>12</v>
      </c>
      <c r="T66">
        <v>1</v>
      </c>
      <c r="U66">
        <v>1</v>
      </c>
      <c r="V66">
        <v>529</v>
      </c>
      <c r="W66">
        <v>300</v>
      </c>
      <c r="X66">
        <v>148.66999999999999</v>
      </c>
      <c r="AH66">
        <v>54</v>
      </c>
      <c r="AI66">
        <v>4</v>
      </c>
      <c r="AJ66">
        <v>9</v>
      </c>
      <c r="AK66">
        <v>19</v>
      </c>
      <c r="AL66">
        <v>14</v>
      </c>
      <c r="AM66">
        <v>8</v>
      </c>
      <c r="AN66" t="s">
        <v>576</v>
      </c>
      <c r="AO66" t="s">
        <v>576</v>
      </c>
    </row>
    <row r="67" spans="1:41" x14ac:dyDescent="0.25">
      <c r="A67" t="s">
        <v>783</v>
      </c>
      <c r="B67" t="s">
        <v>268</v>
      </c>
      <c r="C67" t="s">
        <v>784</v>
      </c>
      <c r="D67">
        <f>ROUND(
  (
    --SUBSTITUTE(LEFT(C67,19),"T"," ")
    - DATE(1970,1,1)
  ) * 86400000,
  0
)</f>
        <v>1657319334000</v>
      </c>
      <c r="E67" t="str">
        <f>LEFT(D67,10) &amp; "." &amp; RIGHT(D67,3)</f>
        <v>1657319334.000</v>
      </c>
      <c r="F67" s="3">
        <f>(((E67/60)/60)/24)+DATE(1970,1,1)</f>
        <v>44750.936736111107</v>
      </c>
      <c r="G67" t="str">
        <f>_xlfn.XLOOKUP(
  WorkoutData[[#This Row],[gmailMessageId]],
  WorkoutData_old[gmailMessageId],
  WorkoutData_old[WorkoutType]
)</f>
        <v>2G</v>
      </c>
      <c r="H67" s="4">
        <v>0.72916666666666663</v>
      </c>
      <c r="I67" t="s">
        <v>431</v>
      </c>
      <c r="J67" t="s">
        <v>509</v>
      </c>
      <c r="K67">
        <v>857</v>
      </c>
      <c r="L67">
        <v>26</v>
      </c>
      <c r="M67">
        <v>151</v>
      </c>
      <c r="N67">
        <v>188</v>
      </c>
      <c r="O67">
        <v>3788</v>
      </c>
      <c r="P67">
        <v>2.4500000000000002</v>
      </c>
      <c r="Q67">
        <v>1444</v>
      </c>
      <c r="R67">
        <v>6.1</v>
      </c>
      <c r="S67">
        <v>11</v>
      </c>
      <c r="T67">
        <v>1</v>
      </c>
      <c r="U67">
        <v>1</v>
      </c>
      <c r="V67">
        <v>587</v>
      </c>
      <c r="W67">
        <v>327</v>
      </c>
      <c r="X67">
        <v>124.31</v>
      </c>
      <c r="AH67">
        <v>58</v>
      </c>
      <c r="AI67">
        <v>6</v>
      </c>
      <c r="AJ67">
        <v>5</v>
      </c>
      <c r="AK67">
        <v>21</v>
      </c>
      <c r="AL67">
        <v>15</v>
      </c>
      <c r="AM67">
        <v>11</v>
      </c>
      <c r="AN67" t="s">
        <v>785</v>
      </c>
      <c r="AO67" t="s">
        <v>785</v>
      </c>
    </row>
    <row r="68" spans="1:41" x14ac:dyDescent="0.25">
      <c r="A68" t="s">
        <v>798</v>
      </c>
      <c r="B68" t="s">
        <v>266</v>
      </c>
      <c r="C68" t="s">
        <v>799</v>
      </c>
      <c r="D68">
        <f>ROUND(
  (
    --SUBSTITUTE(LEFT(C68,19),"T"," ")
    - DATE(1970,1,1)
  ) * 86400000,
  0
)</f>
        <v>1657578511000</v>
      </c>
      <c r="E68" t="str">
        <f>LEFT(D68,10) &amp; "." &amp; RIGHT(D68,3)</f>
        <v>1657578511.000</v>
      </c>
      <c r="F68" s="3">
        <f>(((E68/60)/60)/24)+DATE(1970,1,1)</f>
        <v>44753.936469907407</v>
      </c>
      <c r="G68" t="str">
        <f>_xlfn.XLOOKUP(
  WorkoutData[[#This Row],[gmailMessageId]],
  WorkoutData_old[gmailMessageId],
  WorkoutData_old[WorkoutType]
)</f>
        <v>2G</v>
      </c>
      <c r="H68" s="4">
        <v>0.72916666666666663</v>
      </c>
      <c r="I68" t="s">
        <v>431</v>
      </c>
      <c r="J68" t="s">
        <v>509</v>
      </c>
      <c r="K68">
        <v>863</v>
      </c>
      <c r="L68">
        <v>25</v>
      </c>
      <c r="M68">
        <v>152</v>
      </c>
      <c r="N68">
        <v>186</v>
      </c>
      <c r="O68">
        <v>4751</v>
      </c>
      <c r="P68">
        <v>3.16</v>
      </c>
      <c r="Q68">
        <v>1723</v>
      </c>
      <c r="R68">
        <v>6.6</v>
      </c>
      <c r="S68">
        <v>12</v>
      </c>
      <c r="T68">
        <v>1</v>
      </c>
      <c r="U68">
        <v>1</v>
      </c>
      <c r="V68">
        <v>543</v>
      </c>
      <c r="W68">
        <v>300</v>
      </c>
      <c r="X68">
        <v>166.44</v>
      </c>
      <c r="AH68">
        <v>57</v>
      </c>
      <c r="AI68">
        <v>3</v>
      </c>
      <c r="AJ68">
        <v>6</v>
      </c>
      <c r="AK68">
        <v>23</v>
      </c>
      <c r="AL68">
        <v>14</v>
      </c>
      <c r="AM68">
        <v>11</v>
      </c>
      <c r="AN68" t="s">
        <v>800</v>
      </c>
      <c r="AO68" t="s">
        <v>800</v>
      </c>
    </row>
    <row r="69" spans="1:41" x14ac:dyDescent="0.25">
      <c r="A69" t="s">
        <v>813</v>
      </c>
      <c r="B69" t="s">
        <v>264</v>
      </c>
      <c r="C69" t="s">
        <v>814</v>
      </c>
      <c r="D69">
        <f>ROUND(
  (
    --SUBSTITUTE(LEFT(C69,19),"T"," ")
    - DATE(1970,1,1)
  ) * 86400000,
  0
)</f>
        <v>1657833262000</v>
      </c>
      <c r="E69" t="str">
        <f>LEFT(D69,10) &amp; "." &amp; RIGHT(D69,3)</f>
        <v>1657833262.000</v>
      </c>
      <c r="F69" s="3">
        <f>(((E69/60)/60)/24)+DATE(1970,1,1)</f>
        <v>44756.884976851856</v>
      </c>
      <c r="G69" t="str">
        <f>_xlfn.XLOOKUP(
  WorkoutData[[#This Row],[gmailMessageId]],
  WorkoutData_old[gmailMessageId],
  WorkoutData_old[WorkoutType]
)</f>
        <v>2G</v>
      </c>
      <c r="H69" s="4">
        <v>0.67708333333333337</v>
      </c>
      <c r="I69" t="s">
        <v>431</v>
      </c>
      <c r="J69" t="s">
        <v>772</v>
      </c>
      <c r="K69">
        <v>867</v>
      </c>
      <c r="L69">
        <v>32</v>
      </c>
      <c r="M69">
        <v>158</v>
      </c>
      <c r="N69">
        <v>187</v>
      </c>
      <c r="O69">
        <v>3829</v>
      </c>
      <c r="P69">
        <v>2.66</v>
      </c>
      <c r="Q69">
        <v>1579</v>
      </c>
      <c r="R69">
        <v>6.1</v>
      </c>
      <c r="S69">
        <v>12</v>
      </c>
      <c r="T69">
        <v>1</v>
      </c>
      <c r="U69">
        <v>1</v>
      </c>
      <c r="V69">
        <v>589</v>
      </c>
      <c r="W69">
        <v>300</v>
      </c>
      <c r="X69">
        <v>140.68</v>
      </c>
      <c r="AH69">
        <v>56</v>
      </c>
      <c r="AI69">
        <v>2</v>
      </c>
      <c r="AJ69">
        <v>7</v>
      </c>
      <c r="AK69">
        <v>15</v>
      </c>
      <c r="AL69">
        <v>17</v>
      </c>
      <c r="AM69">
        <v>15</v>
      </c>
      <c r="AN69" t="s">
        <v>815</v>
      </c>
      <c r="AO69" t="s">
        <v>815</v>
      </c>
    </row>
    <row r="70" spans="1:41" x14ac:dyDescent="0.25">
      <c r="A70" t="s">
        <v>750</v>
      </c>
      <c r="B70" t="s">
        <v>262</v>
      </c>
      <c r="C70" t="s">
        <v>751</v>
      </c>
      <c r="D70">
        <f>ROUND(
  (
    --SUBSTITUTE(LEFT(C70,19),"T"," ")
    - DATE(1970,1,1)
  ) * 86400000,
  0
)</f>
        <v>1658265218000</v>
      </c>
      <c r="E70" t="str">
        <f>LEFT(D70,10) &amp; "." &amp; RIGHT(D70,3)</f>
        <v>1658265218.000</v>
      </c>
      <c r="F70" s="3">
        <f>(((E70/60)/60)/24)+DATE(1970,1,1)</f>
        <v>44761.884467592594</v>
      </c>
      <c r="G70" t="str">
        <f>_xlfn.XLOOKUP(
  WorkoutData[[#This Row],[gmailMessageId]],
  WorkoutData_old[gmailMessageId],
  WorkoutData_old[WorkoutType]
)</f>
        <v>2G</v>
      </c>
      <c r="H70" s="4">
        <v>0.67708333333333337</v>
      </c>
      <c r="I70" t="s">
        <v>433</v>
      </c>
      <c r="J70" t="s">
        <v>441</v>
      </c>
      <c r="K70">
        <v>850</v>
      </c>
      <c r="L70">
        <v>26</v>
      </c>
      <c r="M70">
        <v>152</v>
      </c>
      <c r="N70">
        <v>189</v>
      </c>
      <c r="O70">
        <v>3226</v>
      </c>
      <c r="P70">
        <v>1.75</v>
      </c>
      <c r="Q70">
        <v>797</v>
      </c>
      <c r="R70">
        <v>7.6</v>
      </c>
      <c r="S70">
        <v>12</v>
      </c>
      <c r="T70">
        <v>1</v>
      </c>
      <c r="U70">
        <v>1</v>
      </c>
      <c r="V70">
        <v>472</v>
      </c>
      <c r="W70">
        <v>300</v>
      </c>
      <c r="X70">
        <v>91.47</v>
      </c>
      <c r="AH70">
        <v>56</v>
      </c>
      <c r="AI70">
        <v>5</v>
      </c>
      <c r="AJ70">
        <v>7</v>
      </c>
      <c r="AK70">
        <v>18</v>
      </c>
      <c r="AL70">
        <v>9</v>
      </c>
      <c r="AM70">
        <v>17</v>
      </c>
      <c r="AN70" t="s">
        <v>752</v>
      </c>
      <c r="AO70" t="s">
        <v>752</v>
      </c>
    </row>
    <row r="71" spans="1:41" x14ac:dyDescent="0.25">
      <c r="A71" t="s">
        <v>571</v>
      </c>
      <c r="B71" t="s">
        <v>260</v>
      </c>
      <c r="C71" t="s">
        <v>572</v>
      </c>
      <c r="D71">
        <f>ROUND(
  (
    --SUBSTITUTE(LEFT(C71,19),"T"," ")
    - DATE(1970,1,1)
  ) * 86400000,
  0
)</f>
        <v>1658524408000</v>
      </c>
      <c r="E71" t="str">
        <f>LEFT(D71,10) &amp; "." &amp; RIGHT(D71,3)</f>
        <v>1658524408.000</v>
      </c>
      <c r="F71" s="3">
        <f>(((E71/60)/60)/24)+DATE(1970,1,1)</f>
        <v>44764.884351851855</v>
      </c>
      <c r="G71" t="str">
        <f>_xlfn.XLOOKUP(
  WorkoutData[[#This Row],[gmailMessageId]],
  WorkoutData_old[gmailMessageId],
  WorkoutData_old[WorkoutType]
)</f>
        <v>2G</v>
      </c>
      <c r="H71" s="4">
        <v>0.67708333333333337</v>
      </c>
      <c r="I71" t="s">
        <v>431</v>
      </c>
      <c r="J71" t="s">
        <v>509</v>
      </c>
      <c r="K71">
        <v>777</v>
      </c>
      <c r="L71">
        <v>27</v>
      </c>
      <c r="M71">
        <v>147</v>
      </c>
      <c r="N71">
        <v>186</v>
      </c>
      <c r="O71">
        <v>4425</v>
      </c>
      <c r="P71">
        <v>2.64</v>
      </c>
      <c r="Q71">
        <v>1560</v>
      </c>
      <c r="R71">
        <v>6.1</v>
      </c>
      <c r="S71">
        <v>11</v>
      </c>
      <c r="T71">
        <v>1</v>
      </c>
      <c r="U71">
        <v>1</v>
      </c>
      <c r="V71">
        <v>590</v>
      </c>
      <c r="W71">
        <v>327</v>
      </c>
      <c r="X71">
        <v>139.01</v>
      </c>
      <c r="AH71">
        <v>55</v>
      </c>
      <c r="AI71">
        <v>12</v>
      </c>
      <c r="AJ71">
        <v>2</v>
      </c>
      <c r="AK71">
        <v>14</v>
      </c>
      <c r="AL71">
        <v>17</v>
      </c>
      <c r="AM71">
        <v>10</v>
      </c>
      <c r="AN71" t="s">
        <v>573</v>
      </c>
      <c r="AO71" t="s">
        <v>573</v>
      </c>
    </row>
    <row r="72" spans="1:41" x14ac:dyDescent="0.25">
      <c r="A72" t="s">
        <v>807</v>
      </c>
      <c r="B72" t="s">
        <v>258</v>
      </c>
      <c r="C72" t="s">
        <v>808</v>
      </c>
      <c r="D72">
        <f>ROUND(
  (
    --SUBSTITUTE(LEFT(C72,19),"T"," ")
    - DATE(1970,1,1)
  ) * 86400000,
  0
)</f>
        <v>1658768418000</v>
      </c>
      <c r="E72" t="str">
        <f>LEFT(D72,10) &amp; "." &amp; RIGHT(D72,3)</f>
        <v>1658768418.000</v>
      </c>
      <c r="F72" s="3">
        <f>(((E72/60)/60)/24)+DATE(1970,1,1)</f>
        <v>44767.708541666667</v>
      </c>
      <c r="G72" t="str">
        <f>_xlfn.XLOOKUP(
  WorkoutData[[#This Row],[gmailMessageId]],
  WorkoutData_old[gmailMessageId],
  WorkoutData_old[WorkoutType]
)</f>
        <v>2G</v>
      </c>
      <c r="H72" s="4">
        <v>0.5</v>
      </c>
      <c r="I72" t="s">
        <v>431</v>
      </c>
      <c r="J72" t="s">
        <v>441</v>
      </c>
      <c r="K72">
        <v>866</v>
      </c>
      <c r="L72">
        <v>27</v>
      </c>
      <c r="M72">
        <v>153</v>
      </c>
      <c r="N72">
        <v>186</v>
      </c>
      <c r="O72">
        <v>4392</v>
      </c>
      <c r="P72">
        <v>3.08</v>
      </c>
      <c r="Q72">
        <v>1704</v>
      </c>
      <c r="R72">
        <v>6.5</v>
      </c>
      <c r="S72">
        <v>12</v>
      </c>
      <c r="T72">
        <v>1</v>
      </c>
      <c r="U72">
        <v>1</v>
      </c>
      <c r="V72">
        <v>554</v>
      </c>
      <c r="W72">
        <v>300</v>
      </c>
      <c r="X72">
        <v>162.28</v>
      </c>
      <c r="AH72">
        <v>57</v>
      </c>
      <c r="AI72">
        <v>3</v>
      </c>
      <c r="AJ72">
        <v>8</v>
      </c>
      <c r="AK72">
        <v>19</v>
      </c>
      <c r="AL72">
        <v>17</v>
      </c>
      <c r="AM72">
        <v>10</v>
      </c>
      <c r="AN72" t="s">
        <v>809</v>
      </c>
      <c r="AO72" t="s">
        <v>809</v>
      </c>
    </row>
    <row r="73" spans="1:41" x14ac:dyDescent="0.25">
      <c r="A73" t="s">
        <v>523</v>
      </c>
      <c r="B73" t="s">
        <v>256</v>
      </c>
      <c r="C73" t="s">
        <v>524</v>
      </c>
      <c r="D73">
        <f>ROUND(
  (
    --SUBSTITUTE(LEFT(C73,19),"T"," ")
    - DATE(1970,1,1)
  ) * 86400000,
  0
)</f>
        <v>1658870041000</v>
      </c>
      <c r="E73" t="str">
        <f>LEFT(D73,10) &amp; "." &amp; RIGHT(D73,3)</f>
        <v>1658870041.000</v>
      </c>
      <c r="F73" s="3">
        <f>(((E73/60)/60)/24)+DATE(1970,1,1)</f>
        <v>44768.884733796294</v>
      </c>
      <c r="G73" t="str">
        <f>_xlfn.XLOOKUP(
  WorkoutData[[#This Row],[gmailMessageId]],
  WorkoutData_old[gmailMessageId],
  WorkoutData_old[WorkoutType]
)</f>
        <v>2G</v>
      </c>
      <c r="H73" s="4">
        <v>0.67708333333333337</v>
      </c>
      <c r="I73" t="s">
        <v>431</v>
      </c>
      <c r="J73" t="s">
        <v>509</v>
      </c>
      <c r="K73">
        <v>744</v>
      </c>
      <c r="L73">
        <v>22</v>
      </c>
      <c r="M73">
        <v>141</v>
      </c>
      <c r="N73">
        <v>185</v>
      </c>
      <c r="O73">
        <v>4263</v>
      </c>
      <c r="P73">
        <v>2.78</v>
      </c>
      <c r="Q73">
        <v>1603</v>
      </c>
      <c r="R73">
        <v>6.2</v>
      </c>
      <c r="S73">
        <v>12</v>
      </c>
      <c r="T73">
        <v>1</v>
      </c>
      <c r="U73">
        <v>1</v>
      </c>
      <c r="V73">
        <v>577</v>
      </c>
      <c r="W73">
        <v>300</v>
      </c>
      <c r="X73">
        <v>146.34</v>
      </c>
      <c r="AH73">
        <v>55</v>
      </c>
      <c r="AI73">
        <v>12</v>
      </c>
      <c r="AJ73">
        <v>7</v>
      </c>
      <c r="AK73">
        <v>14</v>
      </c>
      <c r="AL73">
        <v>12</v>
      </c>
      <c r="AM73">
        <v>10</v>
      </c>
      <c r="AN73" t="s">
        <v>525</v>
      </c>
      <c r="AO73" t="s">
        <v>525</v>
      </c>
    </row>
    <row r="74" spans="1:41" x14ac:dyDescent="0.25">
      <c r="A74" t="s">
        <v>529</v>
      </c>
      <c r="B74" t="s">
        <v>254</v>
      </c>
      <c r="C74" t="s">
        <v>530</v>
      </c>
      <c r="D74">
        <f>ROUND(
  (
    --SUBSTITUTE(LEFT(C74,19),"T"," ")
    - DATE(1970,1,1)
  ) * 86400000,
  0
)</f>
        <v>1660775430000</v>
      </c>
      <c r="E74" t="str">
        <f>LEFT(D74,10) &amp; "." &amp; RIGHT(D74,3)</f>
        <v>1660775430.000</v>
      </c>
      <c r="F74" s="3">
        <f>(((E74/60)/60)/24)+DATE(1970,1,1)</f>
        <v>44790.937847222223</v>
      </c>
      <c r="G74" t="str">
        <f>_xlfn.XLOOKUP(
  WorkoutData[[#This Row],[gmailMessageId]],
  WorkoutData_old[gmailMessageId],
  WorkoutData_old[WorkoutType]
)</f>
        <v>2G</v>
      </c>
      <c r="H74" s="4">
        <v>0.72916666666666663</v>
      </c>
      <c r="I74" t="s">
        <v>431</v>
      </c>
      <c r="J74" t="s">
        <v>441</v>
      </c>
      <c r="K74">
        <v>755</v>
      </c>
      <c r="L74">
        <v>27</v>
      </c>
      <c r="M74">
        <v>141</v>
      </c>
      <c r="N74">
        <v>190</v>
      </c>
      <c r="O74">
        <v>4300</v>
      </c>
      <c r="P74">
        <v>2.78</v>
      </c>
      <c r="Q74">
        <v>1565</v>
      </c>
      <c r="R74">
        <v>6.4</v>
      </c>
      <c r="S74">
        <v>10</v>
      </c>
      <c r="T74">
        <v>1</v>
      </c>
      <c r="U74">
        <v>1</v>
      </c>
      <c r="V74">
        <v>560</v>
      </c>
      <c r="W74">
        <v>360</v>
      </c>
      <c r="X74">
        <v>146.69</v>
      </c>
      <c r="AH74">
        <v>57</v>
      </c>
      <c r="AI74">
        <v>16</v>
      </c>
      <c r="AJ74">
        <v>5</v>
      </c>
      <c r="AK74">
        <v>9</v>
      </c>
      <c r="AL74">
        <v>11</v>
      </c>
      <c r="AM74">
        <v>16</v>
      </c>
      <c r="AN74" t="s">
        <v>531</v>
      </c>
      <c r="AO74" t="s">
        <v>531</v>
      </c>
    </row>
    <row r="75" spans="1:41" x14ac:dyDescent="0.25">
      <c r="A75" t="s">
        <v>854</v>
      </c>
      <c r="B75" t="s">
        <v>252</v>
      </c>
      <c r="C75" t="s">
        <v>855</v>
      </c>
      <c r="D75">
        <f>ROUND(
  (
    --SUBSTITUTE(LEFT(C75,19),"T"," ")
    - DATE(1970,1,1)
  ) * 86400000,
  0
)</f>
        <v>1661207349000</v>
      </c>
      <c r="E75" t="str">
        <f>LEFT(D75,10) &amp; "." &amp; RIGHT(D75,3)</f>
        <v>1661207349.000</v>
      </c>
      <c r="F75" s="3">
        <f>(((E75/60)/60)/24)+DATE(1970,1,1)</f>
        <v>44795.936909722222</v>
      </c>
      <c r="G75" t="str">
        <f>_xlfn.XLOOKUP(
  WorkoutData[[#This Row],[gmailMessageId]],
  WorkoutData_old[gmailMessageId],
  WorkoutData_old[WorkoutType]
)</f>
        <v>2G</v>
      </c>
      <c r="H75" s="4">
        <v>0.72916666666666663</v>
      </c>
      <c r="I75" t="s">
        <v>431</v>
      </c>
      <c r="J75" t="s">
        <v>509</v>
      </c>
      <c r="K75">
        <v>881</v>
      </c>
      <c r="L75">
        <v>27</v>
      </c>
      <c r="M75">
        <v>157</v>
      </c>
      <c r="N75">
        <v>189</v>
      </c>
      <c r="O75">
        <v>4188</v>
      </c>
      <c r="P75">
        <v>3.18</v>
      </c>
      <c r="Q75">
        <v>1685</v>
      </c>
      <c r="R75">
        <v>6.8</v>
      </c>
      <c r="S75">
        <v>11</v>
      </c>
      <c r="T75">
        <v>1.4</v>
      </c>
      <c r="U75">
        <v>3</v>
      </c>
      <c r="V75">
        <v>528</v>
      </c>
      <c r="W75">
        <v>327</v>
      </c>
      <c r="X75">
        <v>236.74</v>
      </c>
      <c r="AH75">
        <v>55</v>
      </c>
      <c r="AI75">
        <v>1</v>
      </c>
      <c r="AJ75">
        <v>6</v>
      </c>
      <c r="AK75">
        <v>21</v>
      </c>
      <c r="AL75">
        <v>10</v>
      </c>
      <c r="AM75">
        <v>17</v>
      </c>
      <c r="AN75" t="s">
        <v>856</v>
      </c>
      <c r="AO75" t="s">
        <v>856</v>
      </c>
    </row>
    <row r="76" spans="1:41" x14ac:dyDescent="0.25">
      <c r="A76" t="s">
        <v>517</v>
      </c>
      <c r="B76" t="s">
        <v>250</v>
      </c>
      <c r="C76" t="s">
        <v>518</v>
      </c>
      <c r="D76">
        <f>ROUND(
  (
    --SUBSTITUTE(LEFT(C76,19),"T"," ")
    - DATE(1970,1,1)
  ) * 86400000,
  0
)</f>
        <v>1661293568000</v>
      </c>
      <c r="E76" t="str">
        <f>LEFT(D76,10) &amp; "." &amp; RIGHT(D76,3)</f>
        <v>1661293568.000</v>
      </c>
      <c r="F76" s="3">
        <f>(((E76/60)/60)/24)+DATE(1970,1,1)</f>
        <v>44796.934814814813</v>
      </c>
      <c r="G76" t="str">
        <f>_xlfn.XLOOKUP(
  WorkoutData[[#This Row],[gmailMessageId]],
  WorkoutData_old[gmailMessageId],
  WorkoutData_old[WorkoutType]
)</f>
        <v>2G</v>
      </c>
      <c r="H76" s="4">
        <v>0.72916666666666663</v>
      </c>
      <c r="I76" t="s">
        <v>431</v>
      </c>
      <c r="J76" t="s">
        <v>476</v>
      </c>
      <c r="K76">
        <v>729</v>
      </c>
      <c r="L76">
        <v>17</v>
      </c>
      <c r="M76">
        <v>140</v>
      </c>
      <c r="N76">
        <v>185</v>
      </c>
      <c r="O76">
        <v>3370</v>
      </c>
      <c r="P76">
        <v>1.86</v>
      </c>
      <c r="Q76">
        <v>1027</v>
      </c>
      <c r="R76">
        <v>6.5</v>
      </c>
      <c r="S76">
        <v>11</v>
      </c>
      <c r="T76">
        <v>1</v>
      </c>
      <c r="U76">
        <v>1</v>
      </c>
      <c r="V76">
        <v>554</v>
      </c>
      <c r="W76">
        <v>327</v>
      </c>
      <c r="X76">
        <v>97.88</v>
      </c>
      <c r="AH76">
        <v>54</v>
      </c>
      <c r="AI76">
        <v>10</v>
      </c>
      <c r="AJ76">
        <v>8</v>
      </c>
      <c r="AK76">
        <v>19</v>
      </c>
      <c r="AL76">
        <v>11</v>
      </c>
      <c r="AM76">
        <v>6</v>
      </c>
      <c r="AN76" t="s">
        <v>519</v>
      </c>
      <c r="AO76" t="s">
        <v>519</v>
      </c>
    </row>
    <row r="77" spans="1:41" x14ac:dyDescent="0.25">
      <c r="A77" t="s">
        <v>738</v>
      </c>
      <c r="B77" t="s">
        <v>248</v>
      </c>
      <c r="C77" t="s">
        <v>739</v>
      </c>
      <c r="D77">
        <f>ROUND(
  (
    --SUBSTITUTE(LEFT(C77,19),"T"," ")
    - DATE(1970,1,1)
  ) * 86400000,
  0
)</f>
        <v>1661812212000</v>
      </c>
      <c r="E77" t="str">
        <f>LEFT(D77,10) &amp; "." &amp; RIGHT(D77,3)</f>
        <v>1661812212.000</v>
      </c>
      <c r="F77" s="3">
        <f>(((E77/60)/60)/24)+DATE(1970,1,1)</f>
        <v>44802.937638888892</v>
      </c>
      <c r="G77" t="str">
        <f>_xlfn.XLOOKUP(
  WorkoutData[[#This Row],[gmailMessageId]],
  WorkoutData_old[gmailMessageId],
  WorkoutData_old[WorkoutType]
)</f>
        <v>2G</v>
      </c>
      <c r="H77" s="4">
        <v>0.72916666666666663</v>
      </c>
      <c r="I77" t="s">
        <v>431</v>
      </c>
      <c r="J77" t="s">
        <v>509</v>
      </c>
      <c r="K77">
        <v>845</v>
      </c>
      <c r="L77">
        <v>23</v>
      </c>
      <c r="M77">
        <v>150</v>
      </c>
      <c r="N77">
        <v>180</v>
      </c>
      <c r="O77">
        <v>4591</v>
      </c>
      <c r="P77">
        <v>2.77</v>
      </c>
      <c r="Q77">
        <v>1558</v>
      </c>
      <c r="R77">
        <v>6.4</v>
      </c>
      <c r="S77">
        <v>12</v>
      </c>
      <c r="T77">
        <v>1.1000000000000001</v>
      </c>
      <c r="U77">
        <v>3</v>
      </c>
      <c r="V77">
        <v>562</v>
      </c>
      <c r="W77">
        <v>300</v>
      </c>
      <c r="X77">
        <v>162.51</v>
      </c>
      <c r="AH77">
        <v>58</v>
      </c>
      <c r="AI77">
        <v>5</v>
      </c>
      <c r="AJ77">
        <v>8</v>
      </c>
      <c r="AK77">
        <v>22</v>
      </c>
      <c r="AL77">
        <v>14</v>
      </c>
      <c r="AM77">
        <v>9</v>
      </c>
      <c r="AN77" t="s">
        <v>740</v>
      </c>
      <c r="AO77" t="s">
        <v>740</v>
      </c>
    </row>
    <row r="78" spans="1:41" x14ac:dyDescent="0.25">
      <c r="A78" t="s">
        <v>538</v>
      </c>
      <c r="B78" t="s">
        <v>246</v>
      </c>
      <c r="C78" t="s">
        <v>539</v>
      </c>
      <c r="D78">
        <f>ROUND(
  (
    --SUBSTITUTE(LEFT(C78,19),"T"," ")
    - DATE(1970,1,1)
  ) * 86400000,
  0
)</f>
        <v>1663021696000</v>
      </c>
      <c r="E78" t="str">
        <f>LEFT(D78,10) &amp; "." &amp; RIGHT(D78,3)</f>
        <v>1663021696.000</v>
      </c>
      <c r="F78" s="3">
        <f>(((E78/60)/60)/24)+DATE(1970,1,1)</f>
        <v>44816.936296296291</v>
      </c>
      <c r="G78" t="str">
        <f>_xlfn.XLOOKUP(
  WorkoutData[[#This Row],[gmailMessageId]],
  WorkoutData_old[gmailMessageId],
  WorkoutData_old[WorkoutType]
)</f>
        <v>2G</v>
      </c>
      <c r="H78" s="4">
        <v>0.72916666666666663</v>
      </c>
      <c r="I78" t="s">
        <v>431</v>
      </c>
      <c r="J78" t="s">
        <v>509</v>
      </c>
      <c r="K78">
        <v>765</v>
      </c>
      <c r="L78">
        <v>19</v>
      </c>
      <c r="M78">
        <v>141</v>
      </c>
      <c r="N78">
        <v>186</v>
      </c>
      <c r="O78">
        <v>4406</v>
      </c>
      <c r="P78">
        <v>2.62</v>
      </c>
      <c r="Q78">
        <v>1514</v>
      </c>
      <c r="R78">
        <v>6.2</v>
      </c>
      <c r="S78">
        <v>12</v>
      </c>
      <c r="T78">
        <v>1</v>
      </c>
      <c r="U78">
        <v>2</v>
      </c>
      <c r="V78">
        <v>583</v>
      </c>
      <c r="W78">
        <v>300</v>
      </c>
      <c r="X78">
        <v>141.85</v>
      </c>
      <c r="AH78">
        <v>58</v>
      </c>
      <c r="AI78">
        <v>9</v>
      </c>
      <c r="AJ78">
        <v>13</v>
      </c>
      <c r="AK78">
        <v>17</v>
      </c>
      <c r="AL78">
        <v>14</v>
      </c>
      <c r="AM78">
        <v>5</v>
      </c>
      <c r="AN78" t="s">
        <v>540</v>
      </c>
      <c r="AO78" t="s">
        <v>540</v>
      </c>
    </row>
    <row r="79" spans="1:41" x14ac:dyDescent="0.25">
      <c r="A79" t="s">
        <v>439</v>
      </c>
      <c r="B79" t="s">
        <v>244</v>
      </c>
      <c r="C79" t="s">
        <v>440</v>
      </c>
      <c r="D79">
        <f>ROUND(
  (
    --SUBSTITUTE(LEFT(C79,19),"T"," ")
    - DATE(1970,1,1)
  ) * 86400000,
  0
)</f>
        <v>1663194465000</v>
      </c>
      <c r="E79" t="str">
        <f>LEFT(D79,10) &amp; "." &amp; RIGHT(D79,3)</f>
        <v>1663194465.000</v>
      </c>
      <c r="F79" s="3">
        <f>(((E79/60)/60)/24)+DATE(1970,1,1)</f>
        <v>44818.935937500006</v>
      </c>
      <c r="G79" t="str">
        <f>_xlfn.XLOOKUP(
  WorkoutData[[#This Row],[gmailMessageId]],
  WorkoutData_old[gmailMessageId],
  WorkoutData_old[WorkoutType]
)</f>
        <v>2G</v>
      </c>
      <c r="H79" s="4">
        <v>0.72916666666666663</v>
      </c>
      <c r="I79" t="s">
        <v>431</v>
      </c>
      <c r="J79" t="s">
        <v>441</v>
      </c>
      <c r="K79">
        <v>308</v>
      </c>
      <c r="L79">
        <v>4</v>
      </c>
      <c r="M79">
        <v>143</v>
      </c>
      <c r="N79">
        <v>177</v>
      </c>
      <c r="O79">
        <v>660</v>
      </c>
      <c r="P79">
        <v>2.79</v>
      </c>
      <c r="Q79">
        <v>1406</v>
      </c>
      <c r="R79">
        <v>7.1</v>
      </c>
      <c r="S79">
        <v>10</v>
      </c>
      <c r="T79">
        <v>1</v>
      </c>
      <c r="U79">
        <v>1</v>
      </c>
      <c r="V79">
        <v>504</v>
      </c>
      <c r="W79">
        <v>360</v>
      </c>
      <c r="X79">
        <v>147.41</v>
      </c>
      <c r="AH79">
        <v>29</v>
      </c>
      <c r="AI79">
        <v>8</v>
      </c>
      <c r="AJ79">
        <v>2</v>
      </c>
      <c r="AK79">
        <v>15</v>
      </c>
      <c r="AL79">
        <v>3</v>
      </c>
      <c r="AM79">
        <v>1</v>
      </c>
      <c r="AN79" t="s">
        <v>442</v>
      </c>
      <c r="AO79" t="s">
        <v>442</v>
      </c>
    </row>
    <row r="80" spans="1:41" x14ac:dyDescent="0.25">
      <c r="A80" t="s">
        <v>627</v>
      </c>
      <c r="B80" t="s">
        <v>242</v>
      </c>
      <c r="C80" t="s">
        <v>628</v>
      </c>
      <c r="D80">
        <f>ROUND(
  (
    --SUBSTITUTE(LEFT(C80,19),"T"," ")
    - DATE(1970,1,1)
  ) * 86400000,
  0
)</f>
        <v>1663626481000</v>
      </c>
      <c r="E80" t="str">
        <f>LEFT(D80,10) &amp; "." &amp; RIGHT(D80,3)</f>
        <v>1663626481.000</v>
      </c>
      <c r="F80" s="3">
        <f>(((E80/60)/60)/24)+DATE(1970,1,1)</f>
        <v>44823.936122685183</v>
      </c>
      <c r="G80" t="str">
        <f>_xlfn.XLOOKUP(
  WorkoutData[[#This Row],[gmailMessageId]],
  WorkoutData_old[gmailMessageId],
  WorkoutData_old[WorkoutType]
)</f>
        <v>2G</v>
      </c>
      <c r="H80" s="4">
        <v>0.72916666666666663</v>
      </c>
      <c r="I80" t="s">
        <v>431</v>
      </c>
      <c r="J80" t="s">
        <v>509</v>
      </c>
      <c r="K80">
        <v>800</v>
      </c>
      <c r="L80">
        <v>22</v>
      </c>
      <c r="M80">
        <v>151</v>
      </c>
      <c r="N80">
        <v>185</v>
      </c>
      <c r="O80">
        <v>3102</v>
      </c>
      <c r="P80">
        <v>2.08</v>
      </c>
      <c r="Q80">
        <v>1130</v>
      </c>
      <c r="R80">
        <v>6.6</v>
      </c>
      <c r="S80">
        <v>12</v>
      </c>
      <c r="T80">
        <v>1</v>
      </c>
      <c r="U80">
        <v>1</v>
      </c>
      <c r="V80">
        <v>542</v>
      </c>
      <c r="W80">
        <v>300</v>
      </c>
      <c r="X80">
        <v>109.94</v>
      </c>
      <c r="AH80">
        <v>54</v>
      </c>
      <c r="AI80">
        <v>2</v>
      </c>
      <c r="AJ80">
        <v>9</v>
      </c>
      <c r="AK80">
        <v>21</v>
      </c>
      <c r="AL80">
        <v>14</v>
      </c>
      <c r="AM80">
        <v>8</v>
      </c>
      <c r="AN80" t="s">
        <v>629</v>
      </c>
      <c r="AO80" t="s">
        <v>629</v>
      </c>
    </row>
    <row r="81" spans="1:41" x14ac:dyDescent="0.25">
      <c r="A81" t="s">
        <v>621</v>
      </c>
      <c r="B81" t="s">
        <v>240</v>
      </c>
      <c r="C81" t="s">
        <v>622</v>
      </c>
      <c r="D81">
        <f>ROUND(
  (
    --SUBSTITUTE(LEFT(C81,19),"T"," ")
    - DATE(1970,1,1)
  ) * 86400000,
  0
)</f>
        <v>1663799319000</v>
      </c>
      <c r="E81" t="str">
        <f>LEFT(D81,10) &amp; "." &amp; RIGHT(D81,3)</f>
        <v>1663799319.000</v>
      </c>
      <c r="F81" s="3">
        <f>(((E81/60)/60)/24)+DATE(1970,1,1)</f>
        <v>44825.936562499999</v>
      </c>
      <c r="G81" t="str">
        <f>_xlfn.XLOOKUP(
  WorkoutData[[#This Row],[gmailMessageId]],
  WorkoutData_old[gmailMessageId],
  WorkoutData_old[WorkoutType]
)</f>
        <v>2G</v>
      </c>
      <c r="H81" s="4">
        <v>0.72916666666666663</v>
      </c>
      <c r="I81" t="s">
        <v>431</v>
      </c>
      <c r="J81" t="s">
        <v>441</v>
      </c>
      <c r="K81">
        <v>799</v>
      </c>
      <c r="L81">
        <v>20</v>
      </c>
      <c r="M81">
        <v>143</v>
      </c>
      <c r="N81">
        <v>185</v>
      </c>
      <c r="O81">
        <v>3519</v>
      </c>
      <c r="P81">
        <v>2</v>
      </c>
      <c r="Q81">
        <v>1229</v>
      </c>
      <c r="R81">
        <v>5.8</v>
      </c>
      <c r="S81">
        <v>12</v>
      </c>
      <c r="T81">
        <v>3.3</v>
      </c>
      <c r="U81">
        <v>10</v>
      </c>
      <c r="V81">
        <v>621</v>
      </c>
      <c r="W81">
        <v>300</v>
      </c>
      <c r="X81">
        <v>347.82</v>
      </c>
      <c r="AH81">
        <v>58</v>
      </c>
      <c r="AI81">
        <v>9</v>
      </c>
      <c r="AJ81">
        <v>10</v>
      </c>
      <c r="AK81">
        <v>19</v>
      </c>
      <c r="AL81">
        <v>11</v>
      </c>
      <c r="AM81">
        <v>9</v>
      </c>
      <c r="AN81" t="s">
        <v>623</v>
      </c>
      <c r="AO81" t="s">
        <v>623</v>
      </c>
    </row>
    <row r="82" spans="1:41" x14ac:dyDescent="0.25">
      <c r="A82" t="s">
        <v>618</v>
      </c>
      <c r="B82" t="s">
        <v>238</v>
      </c>
      <c r="C82" t="s">
        <v>619</v>
      </c>
      <c r="D82">
        <f>ROUND(
  (
    --SUBSTITUTE(LEFT(C82,19),"T"," ")
    - DATE(1970,1,1)
  ) * 86400000,
  0
)</f>
        <v>1664231409000</v>
      </c>
      <c r="E82" t="str">
        <f>LEFT(D82,10) &amp; "." &amp; RIGHT(D82,3)</f>
        <v>1664231409.000</v>
      </c>
      <c r="F82" s="3">
        <f>(((E82/60)/60)/24)+DATE(1970,1,1)</f>
        <v>44830.937604166669</v>
      </c>
      <c r="G82" t="str">
        <f>_xlfn.XLOOKUP(
  WorkoutData[[#This Row],[gmailMessageId]],
  WorkoutData_old[gmailMessageId],
  WorkoutData_old[WorkoutType]
)</f>
        <v>2G</v>
      </c>
      <c r="H82" s="4">
        <v>0.72916666666666663</v>
      </c>
      <c r="I82" t="s">
        <v>431</v>
      </c>
      <c r="J82" t="s">
        <v>509</v>
      </c>
      <c r="K82">
        <v>799</v>
      </c>
      <c r="L82">
        <v>15</v>
      </c>
      <c r="M82">
        <v>142</v>
      </c>
      <c r="N82">
        <v>185</v>
      </c>
      <c r="O82">
        <v>2982</v>
      </c>
      <c r="P82">
        <v>2.0699999999999998</v>
      </c>
      <c r="Q82">
        <v>1007</v>
      </c>
      <c r="R82">
        <v>7.4</v>
      </c>
      <c r="S82">
        <v>10</v>
      </c>
      <c r="T82">
        <v>1.1000000000000001</v>
      </c>
      <c r="U82">
        <v>12</v>
      </c>
      <c r="V82">
        <v>489</v>
      </c>
      <c r="W82">
        <v>360</v>
      </c>
      <c r="X82">
        <v>121.93</v>
      </c>
      <c r="AH82">
        <v>58</v>
      </c>
      <c r="AI82">
        <v>7</v>
      </c>
      <c r="AJ82">
        <v>11</v>
      </c>
      <c r="AK82">
        <v>25</v>
      </c>
      <c r="AL82">
        <v>7</v>
      </c>
      <c r="AM82">
        <v>8</v>
      </c>
      <c r="AN82" t="s">
        <v>620</v>
      </c>
      <c r="AO82" t="s">
        <v>620</v>
      </c>
    </row>
    <row r="83" spans="1:41" x14ac:dyDescent="0.25">
      <c r="A83" t="s">
        <v>568</v>
      </c>
      <c r="B83" t="s">
        <v>236</v>
      </c>
      <c r="C83" t="s">
        <v>569</v>
      </c>
      <c r="D83">
        <f>ROUND(
  (
    --SUBSTITUTE(LEFT(C83,19),"T"," ")
    - DATE(1970,1,1)
  ) * 86400000,
  0
)</f>
        <v>1664404073000</v>
      </c>
      <c r="E83" t="str">
        <f>LEFT(D83,10) &amp; "." &amp; RIGHT(D83,3)</f>
        <v>1664404073.000</v>
      </c>
      <c r="F83" s="3">
        <f>(((E83/60)/60)/24)+DATE(1970,1,1)</f>
        <v>44832.936030092591</v>
      </c>
      <c r="G83" t="str">
        <f>_xlfn.XLOOKUP(
  WorkoutData[[#This Row],[gmailMessageId]],
  WorkoutData_old[gmailMessageId],
  WorkoutData_old[WorkoutType]
)</f>
        <v>Tornado</v>
      </c>
      <c r="H83" s="4">
        <v>0.72916666666666663</v>
      </c>
      <c r="I83" t="s">
        <v>431</v>
      </c>
      <c r="J83" t="s">
        <v>441</v>
      </c>
      <c r="K83">
        <v>775</v>
      </c>
      <c r="L83">
        <v>15</v>
      </c>
      <c r="M83">
        <v>146</v>
      </c>
      <c r="N83">
        <v>179</v>
      </c>
      <c r="O83">
        <v>3960</v>
      </c>
      <c r="P83">
        <v>1.87</v>
      </c>
      <c r="Q83">
        <v>1078</v>
      </c>
      <c r="R83">
        <v>6.2</v>
      </c>
      <c r="S83">
        <v>12</v>
      </c>
      <c r="T83">
        <v>1</v>
      </c>
      <c r="U83">
        <v>1</v>
      </c>
      <c r="V83">
        <v>578</v>
      </c>
      <c r="W83">
        <v>300</v>
      </c>
      <c r="X83">
        <v>97.47</v>
      </c>
      <c r="AH83">
        <v>55</v>
      </c>
      <c r="AI83">
        <v>4</v>
      </c>
      <c r="AJ83">
        <v>7</v>
      </c>
      <c r="AK83">
        <v>29</v>
      </c>
      <c r="AL83">
        <v>13</v>
      </c>
      <c r="AM83">
        <v>2</v>
      </c>
      <c r="AN83" t="s">
        <v>570</v>
      </c>
      <c r="AO83" t="s">
        <v>570</v>
      </c>
    </row>
    <row r="84" spans="1:41" x14ac:dyDescent="0.25">
      <c r="A84" t="s">
        <v>603</v>
      </c>
      <c r="B84" t="s">
        <v>234</v>
      </c>
      <c r="C84" t="s">
        <v>604</v>
      </c>
      <c r="D84">
        <f>ROUND(
  (
    --SUBSTITUTE(LEFT(C84,19),"T"," ")
    - DATE(1970,1,1)
  ) * 86400000,
  0
)</f>
        <v>1665075603000</v>
      </c>
      <c r="E84" t="str">
        <f>LEFT(D84,10) &amp; "." &amp; RIGHT(D84,3)</f>
        <v>1665075603.000</v>
      </c>
      <c r="F84" s="3">
        <f>(((E84/60)/60)/24)+DATE(1970,1,1)</f>
        <v>44840.708368055552</v>
      </c>
      <c r="G84" t="str">
        <f>_xlfn.XLOOKUP(
  WorkoutData[[#This Row],[gmailMessageId]],
  WorkoutData_old[gmailMessageId],
  WorkoutData_old[WorkoutType]
)</f>
        <v>2G</v>
      </c>
      <c r="H84" s="4">
        <v>0.5</v>
      </c>
      <c r="I84" t="s">
        <v>605</v>
      </c>
      <c r="J84" t="s">
        <v>606</v>
      </c>
      <c r="K84">
        <v>793</v>
      </c>
      <c r="L84">
        <v>16</v>
      </c>
      <c r="M84">
        <v>140</v>
      </c>
      <c r="N84">
        <v>182</v>
      </c>
      <c r="O84">
        <v>2909</v>
      </c>
      <c r="P84">
        <v>1.49</v>
      </c>
      <c r="Q84">
        <v>939</v>
      </c>
      <c r="R84">
        <v>5.7</v>
      </c>
      <c r="S84">
        <v>12</v>
      </c>
      <c r="T84">
        <v>1</v>
      </c>
      <c r="U84">
        <v>1</v>
      </c>
      <c r="V84">
        <v>628</v>
      </c>
      <c r="W84">
        <v>300</v>
      </c>
      <c r="X84">
        <v>78.41</v>
      </c>
      <c r="Y84">
        <v>2403</v>
      </c>
      <c r="Z84">
        <v>930</v>
      </c>
      <c r="AA84">
        <v>1</v>
      </c>
      <c r="AB84">
        <v>333</v>
      </c>
      <c r="AC84">
        <v>16.2</v>
      </c>
      <c r="AD84">
        <v>19.3</v>
      </c>
      <c r="AE84">
        <v>111</v>
      </c>
      <c r="AF84">
        <v>93</v>
      </c>
      <c r="AG84">
        <v>25.7</v>
      </c>
      <c r="AH84">
        <v>60</v>
      </c>
      <c r="AI84">
        <v>9</v>
      </c>
      <c r="AJ84">
        <v>10</v>
      </c>
      <c r="AK84">
        <v>25</v>
      </c>
      <c r="AL84">
        <v>13</v>
      </c>
      <c r="AM84">
        <v>3</v>
      </c>
      <c r="AN84" t="s">
        <v>607</v>
      </c>
      <c r="AO84" t="s">
        <v>607</v>
      </c>
    </row>
    <row r="85" spans="1:41" x14ac:dyDescent="0.25">
      <c r="A85" t="s">
        <v>913</v>
      </c>
      <c r="B85" t="s">
        <v>232</v>
      </c>
      <c r="C85" t="s">
        <v>914</v>
      </c>
      <c r="D85">
        <f>ROUND(
  (
    --SUBSTITUTE(LEFT(C85,19),"T"," ")
    - DATE(1970,1,1)
  ) * 86400000,
  0
)</f>
        <v>1665695597000</v>
      </c>
      <c r="E85" t="str">
        <f>LEFT(D85,10) &amp; "." &amp; RIGHT(D85,3)</f>
        <v>1665695597.000</v>
      </c>
      <c r="F85" s="3">
        <f>(((E85/60)/60)/24)+DATE(1970,1,1)</f>
        <v>44847.884224537032</v>
      </c>
      <c r="G85" t="str">
        <f>_xlfn.XLOOKUP(
  WorkoutData[[#This Row],[gmailMessageId]],
  WorkoutData_old[gmailMessageId],
  WorkoutData_old[WorkoutType]
)</f>
        <v>Tornado</v>
      </c>
      <c r="H85" s="4">
        <v>0.67708333333333337</v>
      </c>
      <c r="I85" t="s">
        <v>433</v>
      </c>
      <c r="J85" t="s">
        <v>472</v>
      </c>
      <c r="K85">
        <v>902</v>
      </c>
      <c r="L85">
        <v>35</v>
      </c>
      <c r="M85">
        <v>155</v>
      </c>
      <c r="N85">
        <v>189</v>
      </c>
      <c r="O85">
        <v>3297</v>
      </c>
      <c r="P85">
        <v>1.48</v>
      </c>
      <c r="Q85">
        <v>837</v>
      </c>
      <c r="R85">
        <v>6.4</v>
      </c>
      <c r="S85">
        <v>12</v>
      </c>
      <c r="T85">
        <v>1</v>
      </c>
      <c r="U85">
        <v>1</v>
      </c>
      <c r="V85">
        <v>562</v>
      </c>
      <c r="W85">
        <v>300</v>
      </c>
      <c r="X85">
        <v>78.31</v>
      </c>
      <c r="Y85">
        <v>3151</v>
      </c>
      <c r="Z85">
        <v>853</v>
      </c>
      <c r="AA85">
        <v>5</v>
      </c>
      <c r="AB85">
        <v>533</v>
      </c>
      <c r="AC85">
        <v>16.8</v>
      </c>
      <c r="AD85">
        <v>28.4</v>
      </c>
      <c r="AE85">
        <v>125</v>
      </c>
      <c r="AF85">
        <v>63</v>
      </c>
      <c r="AG85">
        <v>28.7</v>
      </c>
      <c r="AH85">
        <v>59</v>
      </c>
      <c r="AI85">
        <v>8</v>
      </c>
      <c r="AJ85">
        <v>3</v>
      </c>
      <c r="AK85">
        <v>13</v>
      </c>
      <c r="AL85">
        <v>22</v>
      </c>
      <c r="AM85">
        <v>13</v>
      </c>
      <c r="AN85" t="s">
        <v>915</v>
      </c>
      <c r="AO85" t="s">
        <v>915</v>
      </c>
    </row>
    <row r="86" spans="1:41" x14ac:dyDescent="0.25">
      <c r="A86" t="s">
        <v>970</v>
      </c>
      <c r="B86" t="s">
        <v>230</v>
      </c>
      <c r="C86" t="s">
        <v>971</v>
      </c>
      <c r="D86">
        <f>ROUND(
  (
    --SUBSTITUTE(LEFT(C86,19),"T"," ")
    - DATE(1970,1,1)
  ) * 86400000,
  0
)</f>
        <v>1666371543000</v>
      </c>
      <c r="E86" t="str">
        <f>LEFT(D86,10) &amp; "." &amp; RIGHT(D86,3)</f>
        <v>1666371543.000</v>
      </c>
      <c r="F86" s="3">
        <f>(((E86/60)/60)/24)+DATE(1970,1,1)</f>
        <v>44855.707673611112</v>
      </c>
      <c r="G86" t="str">
        <f>_xlfn.XLOOKUP(
  WorkoutData[[#This Row],[gmailMessageId]],
  WorkoutData_old[gmailMessageId],
  WorkoutData_old[WorkoutType]
)</f>
        <v>2G</v>
      </c>
      <c r="H86" s="4">
        <v>0.5</v>
      </c>
      <c r="I86" t="s">
        <v>550</v>
      </c>
      <c r="J86" t="s">
        <v>972</v>
      </c>
      <c r="K86">
        <v>932</v>
      </c>
      <c r="L86">
        <v>37</v>
      </c>
      <c r="M86">
        <v>162</v>
      </c>
      <c r="N86">
        <v>191</v>
      </c>
      <c r="O86">
        <v>4288</v>
      </c>
      <c r="P86">
        <v>2.83</v>
      </c>
      <c r="Q86">
        <v>1465</v>
      </c>
      <c r="R86">
        <v>6.9</v>
      </c>
      <c r="S86">
        <v>12</v>
      </c>
      <c r="T86">
        <v>1</v>
      </c>
      <c r="U86">
        <v>1</v>
      </c>
      <c r="V86">
        <v>518</v>
      </c>
      <c r="W86">
        <v>300</v>
      </c>
      <c r="X86">
        <v>149.47999999999999</v>
      </c>
      <c r="Y86">
        <v>1350</v>
      </c>
      <c r="Z86">
        <v>570</v>
      </c>
      <c r="AA86">
        <v>6</v>
      </c>
      <c r="AB86">
        <v>384</v>
      </c>
      <c r="AC86">
        <v>16.8</v>
      </c>
      <c r="AD86">
        <v>19.399999999999999</v>
      </c>
      <c r="AE86">
        <v>112</v>
      </c>
      <c r="AF86">
        <v>92</v>
      </c>
      <c r="AG86">
        <v>23.7</v>
      </c>
      <c r="AH86">
        <v>55</v>
      </c>
      <c r="AI86">
        <v>2</v>
      </c>
      <c r="AJ86">
        <v>3</v>
      </c>
      <c r="AK86">
        <v>13</v>
      </c>
      <c r="AL86">
        <v>16</v>
      </c>
      <c r="AM86">
        <v>21</v>
      </c>
      <c r="AN86" t="s">
        <v>973</v>
      </c>
      <c r="AO86" t="s">
        <v>973</v>
      </c>
    </row>
    <row r="87" spans="1:41" x14ac:dyDescent="0.25">
      <c r="A87" t="s">
        <v>770</v>
      </c>
      <c r="B87" t="s">
        <v>228</v>
      </c>
      <c r="C87" t="s">
        <v>771</v>
      </c>
      <c r="D87">
        <f>ROUND(
  (
    --SUBSTITUTE(LEFT(C87,19),"T"," ")
    - DATE(1970,1,1)
  ) * 86400000,
  0
)</f>
        <v>1667581079000</v>
      </c>
      <c r="E87" t="str">
        <f>LEFT(D87,10) &amp; "." &amp; RIGHT(D87,3)</f>
        <v>1667581079.000</v>
      </c>
      <c r="F87" s="3">
        <f>(((E87/60)/60)/24)+DATE(1970,1,1)</f>
        <v>44869.706932870366</v>
      </c>
      <c r="G87" t="str">
        <f>_xlfn.XLOOKUP(
  WorkoutData[[#This Row],[gmailMessageId]],
  WorkoutData_old[gmailMessageId],
  WorkoutData_old[WorkoutType]
)</f>
        <v>2G</v>
      </c>
      <c r="H87" s="4">
        <v>0.5</v>
      </c>
      <c r="I87" t="s">
        <v>431</v>
      </c>
      <c r="J87" t="s">
        <v>772</v>
      </c>
      <c r="K87">
        <v>854</v>
      </c>
      <c r="L87">
        <v>23</v>
      </c>
      <c r="M87">
        <v>155</v>
      </c>
      <c r="N87">
        <v>190</v>
      </c>
      <c r="O87">
        <v>3996</v>
      </c>
      <c r="P87">
        <v>2.63</v>
      </c>
      <c r="Q87">
        <v>1296</v>
      </c>
      <c r="R87">
        <v>7.2</v>
      </c>
      <c r="S87">
        <v>10</v>
      </c>
      <c r="T87">
        <v>1</v>
      </c>
      <c r="U87">
        <v>1</v>
      </c>
      <c r="V87">
        <v>501</v>
      </c>
      <c r="W87">
        <v>360</v>
      </c>
      <c r="X87">
        <v>137.38</v>
      </c>
      <c r="AH87">
        <v>56</v>
      </c>
      <c r="AI87">
        <v>2</v>
      </c>
      <c r="AJ87">
        <v>5</v>
      </c>
      <c r="AK87">
        <v>26</v>
      </c>
      <c r="AL87">
        <v>11</v>
      </c>
      <c r="AM87">
        <v>12</v>
      </c>
      <c r="AN87" t="s">
        <v>773</v>
      </c>
      <c r="AO87" t="s">
        <v>773</v>
      </c>
    </row>
    <row r="88" spans="1:41" x14ac:dyDescent="0.25">
      <c r="A88" t="s">
        <v>497</v>
      </c>
      <c r="B88" t="s">
        <v>226</v>
      </c>
      <c r="C88" t="s">
        <v>498</v>
      </c>
      <c r="D88">
        <f>ROUND(
  (
    --SUBSTITUTE(LEFT(C88,19),"T"," ")
    - DATE(1970,1,1)
  ) * 86400000,
  0
)</f>
        <v>1668118971000</v>
      </c>
      <c r="E88" t="str">
        <f>LEFT(D88,10) &amp; "." &amp; RIGHT(D88,3)</f>
        <v>1668118971.000</v>
      </c>
      <c r="F88" s="3">
        <f>(((E88/60)/60)/24)+DATE(1970,1,1)</f>
        <v>44875.932534722218</v>
      </c>
      <c r="G88" t="str">
        <f>_xlfn.XLOOKUP(
  WorkoutData[[#This Row],[gmailMessageId]],
  WorkoutData_old[gmailMessageId],
  WorkoutData_old[WorkoutType]
)</f>
        <v>2G</v>
      </c>
      <c r="H88" s="4">
        <v>0.68055555555555558</v>
      </c>
      <c r="I88" t="s">
        <v>433</v>
      </c>
      <c r="J88" t="s">
        <v>472</v>
      </c>
      <c r="K88">
        <v>719</v>
      </c>
      <c r="L88">
        <v>19</v>
      </c>
      <c r="M88">
        <v>148</v>
      </c>
      <c r="N88">
        <v>186</v>
      </c>
      <c r="O88">
        <v>2588</v>
      </c>
      <c r="P88">
        <v>1.53</v>
      </c>
      <c r="Q88">
        <v>958</v>
      </c>
      <c r="R88">
        <v>5.8</v>
      </c>
      <c r="S88">
        <v>12</v>
      </c>
      <c r="T88">
        <v>1</v>
      </c>
      <c r="U88">
        <v>1</v>
      </c>
      <c r="V88">
        <v>622</v>
      </c>
      <c r="W88">
        <v>300</v>
      </c>
      <c r="X88">
        <v>80.58</v>
      </c>
      <c r="Y88">
        <v>680</v>
      </c>
      <c r="Z88">
        <v>169</v>
      </c>
      <c r="AA88">
        <v>346</v>
      </c>
      <c r="AB88">
        <v>608</v>
      </c>
      <c r="AC88">
        <v>19.5</v>
      </c>
      <c r="AD88">
        <v>23.2</v>
      </c>
      <c r="AE88">
        <v>95</v>
      </c>
      <c r="AF88">
        <v>77</v>
      </c>
      <c r="AG88">
        <v>30.8</v>
      </c>
      <c r="AH88">
        <v>57</v>
      </c>
      <c r="AI88">
        <v>13</v>
      </c>
      <c r="AJ88">
        <v>2</v>
      </c>
      <c r="AK88">
        <v>23</v>
      </c>
      <c r="AL88">
        <v>14</v>
      </c>
      <c r="AM88">
        <v>5</v>
      </c>
      <c r="AN88" t="s">
        <v>499</v>
      </c>
      <c r="AO88" t="s">
        <v>499</v>
      </c>
    </row>
    <row r="89" spans="1:41" x14ac:dyDescent="0.25">
      <c r="A89" t="s">
        <v>819</v>
      </c>
      <c r="B89" t="s">
        <v>224</v>
      </c>
      <c r="C89" t="s">
        <v>820</v>
      </c>
      <c r="D89">
        <f>ROUND(
  (
    --SUBSTITUTE(LEFT(C89,19),"T"," ")
    - DATE(1970,1,1)
  ) * 86400000,
  0
)</f>
        <v>1668550667000</v>
      </c>
      <c r="E89" t="str">
        <f>LEFT(D89,10) &amp; "." &amp; RIGHT(D89,3)</f>
        <v>1668550667.000</v>
      </c>
      <c r="F89" s="3">
        <f>(((E89/60)/60)/24)+DATE(1970,1,1)</f>
        <v>44880.929016203707</v>
      </c>
      <c r="G89" t="str">
        <f>_xlfn.XLOOKUP(
  WorkoutData[[#This Row],[gmailMessageId]],
  WorkoutData_old[gmailMessageId],
  WorkoutData_old[WorkoutType]
)</f>
        <v>2G</v>
      </c>
      <c r="H89" s="4">
        <v>0.68055555555555558</v>
      </c>
      <c r="I89" t="s">
        <v>433</v>
      </c>
      <c r="J89" t="s">
        <v>762</v>
      </c>
      <c r="K89">
        <v>869</v>
      </c>
      <c r="L89">
        <v>31</v>
      </c>
      <c r="M89">
        <v>158</v>
      </c>
      <c r="N89">
        <v>195</v>
      </c>
      <c r="O89">
        <v>4124</v>
      </c>
      <c r="P89">
        <v>2.71</v>
      </c>
      <c r="Q89">
        <v>1457</v>
      </c>
      <c r="R89">
        <v>6.7</v>
      </c>
      <c r="S89">
        <v>12</v>
      </c>
      <c r="T89">
        <v>1</v>
      </c>
      <c r="U89">
        <v>1</v>
      </c>
      <c r="V89">
        <v>537</v>
      </c>
      <c r="W89">
        <v>300</v>
      </c>
      <c r="X89">
        <v>142.52000000000001</v>
      </c>
      <c r="Y89">
        <v>1398</v>
      </c>
      <c r="Z89">
        <v>512</v>
      </c>
      <c r="AA89">
        <v>2</v>
      </c>
      <c r="AB89">
        <v>468</v>
      </c>
      <c r="AC89">
        <v>18.600000000000001</v>
      </c>
      <c r="AD89">
        <v>21.7</v>
      </c>
      <c r="AE89">
        <v>97</v>
      </c>
      <c r="AF89">
        <v>82</v>
      </c>
      <c r="AG89">
        <v>24.8</v>
      </c>
      <c r="AH89">
        <v>54</v>
      </c>
      <c r="AI89">
        <v>4</v>
      </c>
      <c r="AJ89">
        <v>4</v>
      </c>
      <c r="AK89">
        <v>15</v>
      </c>
      <c r="AL89">
        <v>12</v>
      </c>
      <c r="AM89">
        <v>19</v>
      </c>
      <c r="AN89" t="s">
        <v>821</v>
      </c>
      <c r="AO89" t="s">
        <v>821</v>
      </c>
    </row>
    <row r="90" spans="1:41" x14ac:dyDescent="0.25">
      <c r="A90" t="s">
        <v>760</v>
      </c>
      <c r="B90" t="s">
        <v>222</v>
      </c>
      <c r="C90" t="s">
        <v>761</v>
      </c>
      <c r="D90">
        <f>ROUND(
  (
    --SUBSTITUTE(LEFT(C90,19),"T"," ")
    - DATE(1970,1,1)
  ) * 86400000,
  0
)</f>
        <v>1669760567000</v>
      </c>
      <c r="E90" t="str">
        <f>LEFT(D90,10) &amp; "." &amp; RIGHT(D90,3)</f>
        <v>1669760567.000</v>
      </c>
      <c r="F90" s="3">
        <f>(((E90/60)/60)/24)+DATE(1970,1,1)</f>
        <v>44894.932488425926</v>
      </c>
      <c r="G90" t="str">
        <f>_xlfn.XLOOKUP(
  WorkoutData[[#This Row],[gmailMessageId]],
  WorkoutData_old[gmailMessageId],
  WorkoutData_old[WorkoutType]
)</f>
        <v>2G</v>
      </c>
      <c r="H90" s="4">
        <v>0.68055555555555558</v>
      </c>
      <c r="I90" t="s">
        <v>433</v>
      </c>
      <c r="J90" t="s">
        <v>762</v>
      </c>
      <c r="K90">
        <v>853</v>
      </c>
      <c r="L90">
        <v>25</v>
      </c>
      <c r="M90">
        <v>159</v>
      </c>
      <c r="N90">
        <v>189</v>
      </c>
      <c r="O90">
        <v>3966</v>
      </c>
      <c r="P90">
        <v>2.54</v>
      </c>
      <c r="Q90">
        <v>1627</v>
      </c>
      <c r="R90">
        <v>5.6</v>
      </c>
      <c r="S90">
        <v>9</v>
      </c>
      <c r="T90">
        <v>3.2</v>
      </c>
      <c r="U90">
        <v>8</v>
      </c>
      <c r="V90">
        <v>638</v>
      </c>
      <c r="W90">
        <v>400</v>
      </c>
      <c r="X90">
        <v>428.87</v>
      </c>
      <c r="Y90">
        <v>612</v>
      </c>
      <c r="Z90">
        <v>129</v>
      </c>
      <c r="AA90">
        <v>9</v>
      </c>
      <c r="AB90">
        <v>593</v>
      </c>
      <c r="AC90">
        <v>20.5</v>
      </c>
      <c r="AD90">
        <v>23.7</v>
      </c>
      <c r="AE90">
        <v>90</v>
      </c>
      <c r="AF90">
        <v>76</v>
      </c>
      <c r="AG90">
        <v>32.1</v>
      </c>
      <c r="AH90">
        <v>54</v>
      </c>
      <c r="AI90">
        <v>1</v>
      </c>
      <c r="AJ90">
        <v>5</v>
      </c>
      <c r="AK90">
        <v>23</v>
      </c>
      <c r="AL90">
        <v>19</v>
      </c>
      <c r="AM90">
        <v>6</v>
      </c>
      <c r="AN90" t="s">
        <v>763</v>
      </c>
      <c r="AO90" t="s">
        <v>763</v>
      </c>
    </row>
    <row r="91" spans="1:41" x14ac:dyDescent="0.25">
      <c r="A91" t="s">
        <v>520</v>
      </c>
      <c r="B91" t="s">
        <v>220</v>
      </c>
      <c r="C91" t="s">
        <v>521</v>
      </c>
      <c r="D91">
        <f>ROUND(
  (
    --SUBSTITUTE(LEFT(C91,19),"T"," ")
    - DATE(1970,1,1)
  ) * 86400000,
  0
)</f>
        <v>1669933366000</v>
      </c>
      <c r="E91" t="str">
        <f>LEFT(D91,10) &amp; "." &amp; RIGHT(D91,3)</f>
        <v>1669933366.000</v>
      </c>
      <c r="F91" s="3">
        <f>(((E91/60)/60)/24)+DATE(1970,1,1)</f>
        <v>44896.932476851856</v>
      </c>
      <c r="G91" t="str">
        <f>_xlfn.XLOOKUP(
  WorkoutData[[#This Row],[gmailMessageId]],
  WorkoutData_old[gmailMessageId],
  WorkoutData_old[WorkoutType]
)</f>
        <v>2G</v>
      </c>
      <c r="H91" s="4">
        <v>0.68055555555555558</v>
      </c>
      <c r="I91" t="s">
        <v>433</v>
      </c>
      <c r="J91" t="s">
        <v>472</v>
      </c>
      <c r="K91">
        <v>742</v>
      </c>
      <c r="L91">
        <v>15</v>
      </c>
      <c r="M91">
        <v>145</v>
      </c>
      <c r="N91">
        <v>183</v>
      </c>
      <c r="O91">
        <v>3103</v>
      </c>
      <c r="P91">
        <v>1.77</v>
      </c>
      <c r="Q91">
        <v>998</v>
      </c>
      <c r="R91">
        <v>6.4</v>
      </c>
      <c r="S91">
        <v>12</v>
      </c>
      <c r="T91">
        <v>1</v>
      </c>
      <c r="U91">
        <v>1</v>
      </c>
      <c r="V91">
        <v>564</v>
      </c>
      <c r="W91">
        <v>300</v>
      </c>
      <c r="X91">
        <v>93.32</v>
      </c>
      <c r="Y91">
        <v>1456</v>
      </c>
      <c r="Z91">
        <v>417</v>
      </c>
      <c r="AA91">
        <v>8</v>
      </c>
      <c r="AB91">
        <v>527</v>
      </c>
      <c r="AC91">
        <v>18.899999999999999</v>
      </c>
      <c r="AD91">
        <v>22.6</v>
      </c>
      <c r="AE91">
        <v>96</v>
      </c>
      <c r="AF91">
        <v>79</v>
      </c>
      <c r="AG91">
        <v>32.299999999999997</v>
      </c>
      <c r="AH91">
        <v>54</v>
      </c>
      <c r="AI91">
        <v>5</v>
      </c>
      <c r="AJ91">
        <v>17</v>
      </c>
      <c r="AK91">
        <v>17</v>
      </c>
      <c r="AL91">
        <v>14</v>
      </c>
      <c r="AM91">
        <v>1</v>
      </c>
      <c r="AN91" t="s">
        <v>522</v>
      </c>
      <c r="AO91" t="s">
        <v>522</v>
      </c>
    </row>
    <row r="92" spans="1:41" x14ac:dyDescent="0.25">
      <c r="A92" t="s">
        <v>661</v>
      </c>
      <c r="B92" s="1" t="s">
        <v>218</v>
      </c>
      <c r="C92" t="s">
        <v>662</v>
      </c>
      <c r="D92">
        <f>ROUND(
  (
    --SUBSTITUTE(LEFT(C92,19),"T"," ")
    - DATE(1970,1,1)
  ) * 86400000,
  0
)</f>
        <v>1670263084000</v>
      </c>
      <c r="E92" t="str">
        <f>LEFT(D92,10) &amp; "." &amp; RIGHT(D92,3)</f>
        <v>1670263084.000</v>
      </c>
      <c r="F92" s="3">
        <f>(((E92/60)/60)/24)+DATE(1970,1,1)</f>
        <v>44900.748657407406</v>
      </c>
      <c r="G92" t="str">
        <f>_xlfn.XLOOKUP(
  WorkoutData[[#This Row],[gmailMessageId]],
  WorkoutData_old[gmailMessageId],
  WorkoutData_old[WorkoutType]
)</f>
        <v>2G</v>
      </c>
      <c r="H92" s="4">
        <v>0.5</v>
      </c>
      <c r="I92" t="s">
        <v>433</v>
      </c>
      <c r="J92" t="s">
        <v>472</v>
      </c>
      <c r="K92">
        <v>824</v>
      </c>
      <c r="L92">
        <v>29</v>
      </c>
      <c r="M92">
        <v>166</v>
      </c>
      <c r="N92">
        <v>188</v>
      </c>
      <c r="O92">
        <v>4171</v>
      </c>
      <c r="P92">
        <v>2.89</v>
      </c>
      <c r="Q92">
        <v>1586</v>
      </c>
      <c r="R92">
        <v>6.5</v>
      </c>
      <c r="S92">
        <v>9</v>
      </c>
      <c r="T92">
        <v>2.6</v>
      </c>
      <c r="U92">
        <v>7</v>
      </c>
      <c r="V92">
        <v>553</v>
      </c>
      <c r="W92">
        <v>400</v>
      </c>
      <c r="X92">
        <v>393.19</v>
      </c>
      <c r="Y92">
        <v>481</v>
      </c>
      <c r="Z92">
        <v>246</v>
      </c>
      <c r="AA92">
        <v>5</v>
      </c>
      <c r="AB92">
        <v>460</v>
      </c>
      <c r="AC92">
        <v>19.600000000000001</v>
      </c>
      <c r="AD92">
        <v>21.6</v>
      </c>
      <c r="AE92">
        <v>92</v>
      </c>
      <c r="AF92">
        <v>83</v>
      </c>
      <c r="AG92">
        <v>31</v>
      </c>
      <c r="AH92">
        <v>47</v>
      </c>
      <c r="AI92">
        <v>1</v>
      </c>
      <c r="AJ92">
        <v>1</v>
      </c>
      <c r="AK92">
        <v>16</v>
      </c>
      <c r="AL92">
        <v>15</v>
      </c>
      <c r="AM92">
        <v>14</v>
      </c>
      <c r="AN92" t="s">
        <v>663</v>
      </c>
      <c r="AO92" t="s">
        <v>663</v>
      </c>
    </row>
    <row r="93" spans="1:41" x14ac:dyDescent="0.25">
      <c r="A93" t="s">
        <v>938</v>
      </c>
      <c r="B93" t="s">
        <v>216</v>
      </c>
      <c r="C93" t="s">
        <v>939</v>
      </c>
      <c r="D93">
        <f>ROUND(
  (
    --SUBSTITUTE(LEFT(C93,19),"T"," ")
    - DATE(1970,1,1)
  ) * 86400000,
  0
)</f>
        <v>1670867874000</v>
      </c>
      <c r="E93" t="str">
        <f>LEFT(D93,10) &amp; "." &amp; RIGHT(D93,3)</f>
        <v>1670867874.000</v>
      </c>
      <c r="F93" s="3">
        <f>(((E93/60)/60)/24)+DATE(1970,1,1)</f>
        <v>44907.74854166666</v>
      </c>
      <c r="G93" t="str">
        <f>_xlfn.XLOOKUP(
  WorkoutData[[#This Row],[gmailMessageId]],
  WorkoutData_old[gmailMessageId],
  WorkoutData_old[WorkoutType]
)</f>
        <v>2G</v>
      </c>
      <c r="H93" s="4">
        <v>0.5</v>
      </c>
      <c r="I93" t="s">
        <v>433</v>
      </c>
      <c r="J93" t="s">
        <v>472</v>
      </c>
      <c r="K93">
        <v>916</v>
      </c>
      <c r="L93">
        <v>41</v>
      </c>
      <c r="M93">
        <v>167</v>
      </c>
      <c r="N93">
        <v>187</v>
      </c>
      <c r="O93">
        <v>4630</v>
      </c>
      <c r="P93">
        <v>2.12</v>
      </c>
      <c r="Q93">
        <v>1082</v>
      </c>
      <c r="R93">
        <v>7.1</v>
      </c>
      <c r="S93">
        <v>10</v>
      </c>
      <c r="T93">
        <v>1.9</v>
      </c>
      <c r="U93">
        <v>3</v>
      </c>
      <c r="V93">
        <v>506</v>
      </c>
      <c r="W93">
        <v>360</v>
      </c>
      <c r="X93">
        <v>211.69</v>
      </c>
      <c r="Y93">
        <v>2776</v>
      </c>
      <c r="Z93">
        <v>848</v>
      </c>
      <c r="AA93">
        <v>4</v>
      </c>
      <c r="AB93">
        <v>422</v>
      </c>
      <c r="AC93">
        <v>17.3</v>
      </c>
      <c r="AD93">
        <v>20.7</v>
      </c>
      <c r="AE93">
        <v>104</v>
      </c>
      <c r="AF93">
        <v>86</v>
      </c>
      <c r="AG93">
        <v>29.4</v>
      </c>
      <c r="AH93">
        <v>53</v>
      </c>
      <c r="AI93">
        <v>1</v>
      </c>
      <c r="AJ93">
        <v>2</v>
      </c>
      <c r="AK93">
        <v>9</v>
      </c>
      <c r="AL93">
        <v>32</v>
      </c>
      <c r="AM93">
        <v>9</v>
      </c>
      <c r="AN93" t="s">
        <v>940</v>
      </c>
      <c r="AO93" t="s">
        <v>940</v>
      </c>
    </row>
    <row r="94" spans="1:41" x14ac:dyDescent="0.25">
      <c r="A94" t="s">
        <v>887</v>
      </c>
      <c r="B94" t="s">
        <v>214</v>
      </c>
      <c r="C94" t="s">
        <v>888</v>
      </c>
      <c r="D94">
        <f>ROUND(
  (
    --SUBSTITUTE(LEFT(C94,19),"T"," ")
    - DATE(1970,1,1)
  ) * 86400000,
  0
)</f>
        <v>1671040676000</v>
      </c>
      <c r="E94" t="str">
        <f>LEFT(D94,10) &amp; "." &amp; RIGHT(D94,3)</f>
        <v>1671040676.000</v>
      </c>
      <c r="F94" s="3">
        <f>(((E94/60)/60)/24)+DATE(1970,1,1)</f>
        <v>44909.748564814814</v>
      </c>
      <c r="G94" t="str">
        <f>_xlfn.XLOOKUP(
  WorkoutData[[#This Row],[gmailMessageId]],
  WorkoutData_old[gmailMessageId],
  WorkoutData_old[WorkoutType]
)</f>
        <v>2G</v>
      </c>
      <c r="H94" s="4">
        <v>0.5</v>
      </c>
      <c r="I94" t="s">
        <v>431</v>
      </c>
      <c r="J94" t="s">
        <v>834</v>
      </c>
      <c r="K94">
        <v>891</v>
      </c>
      <c r="L94">
        <v>29</v>
      </c>
      <c r="M94">
        <v>159</v>
      </c>
      <c r="N94">
        <v>188</v>
      </c>
      <c r="O94">
        <v>4027</v>
      </c>
      <c r="P94">
        <v>3.02</v>
      </c>
      <c r="Q94">
        <v>1704</v>
      </c>
      <c r="R94">
        <v>6.4</v>
      </c>
      <c r="S94">
        <v>12</v>
      </c>
      <c r="T94">
        <v>1</v>
      </c>
      <c r="U94">
        <v>1</v>
      </c>
      <c r="V94">
        <v>563</v>
      </c>
      <c r="W94">
        <v>300</v>
      </c>
      <c r="X94">
        <v>159.25</v>
      </c>
      <c r="AH94">
        <v>56</v>
      </c>
      <c r="AI94">
        <v>2</v>
      </c>
      <c r="AJ94">
        <v>5</v>
      </c>
      <c r="AK94">
        <v>20</v>
      </c>
      <c r="AL94">
        <v>22</v>
      </c>
      <c r="AM94">
        <v>7</v>
      </c>
      <c r="AN94" t="s">
        <v>889</v>
      </c>
      <c r="AO94" t="s">
        <v>889</v>
      </c>
    </row>
    <row r="95" spans="1:41" x14ac:dyDescent="0.25">
      <c r="A95" t="s">
        <v>845</v>
      </c>
      <c r="B95" t="s">
        <v>212</v>
      </c>
      <c r="C95" t="s">
        <v>846</v>
      </c>
      <c r="D95">
        <f>ROUND(
  (
    --SUBSTITUTE(LEFT(C95,19),"T"," ")
    - DATE(1970,1,1)
  ) * 86400000,
  0
)</f>
        <v>1671119873000</v>
      </c>
      <c r="E95" t="str">
        <f>LEFT(D95,10) &amp; "." &amp; RIGHT(D95,3)</f>
        <v>1671119873.000</v>
      </c>
      <c r="F95" s="3">
        <f>(((E95/60)/60)/24)+DATE(1970,1,1)</f>
        <v>44910.665196759262</v>
      </c>
      <c r="G95" t="str">
        <f>_xlfn.XLOOKUP(
  WorkoutData[[#This Row],[gmailMessageId]],
  WorkoutData_old[gmailMessageId],
  WorkoutData_old[WorkoutType]
)</f>
        <v>2G</v>
      </c>
      <c r="H95" s="4">
        <v>0.41666666666666669</v>
      </c>
      <c r="I95" t="s">
        <v>431</v>
      </c>
      <c r="J95" t="s">
        <v>509</v>
      </c>
      <c r="K95">
        <v>875</v>
      </c>
      <c r="L95">
        <v>26</v>
      </c>
      <c r="M95">
        <v>158</v>
      </c>
      <c r="N95">
        <v>189</v>
      </c>
      <c r="O95">
        <v>3754</v>
      </c>
      <c r="P95">
        <v>2.0299999999999998</v>
      </c>
      <c r="Q95">
        <v>1225</v>
      </c>
      <c r="R95">
        <v>6</v>
      </c>
      <c r="S95">
        <v>9</v>
      </c>
      <c r="T95">
        <v>1</v>
      </c>
      <c r="U95">
        <v>1</v>
      </c>
      <c r="V95">
        <v>601</v>
      </c>
      <c r="W95">
        <v>400</v>
      </c>
      <c r="X95">
        <v>107.02</v>
      </c>
      <c r="AH95">
        <v>56</v>
      </c>
      <c r="AI95">
        <v>2</v>
      </c>
      <c r="AJ95">
        <v>5</v>
      </c>
      <c r="AK95">
        <v>23</v>
      </c>
      <c r="AL95">
        <v>22</v>
      </c>
      <c r="AM95">
        <v>4</v>
      </c>
      <c r="AN95" t="s">
        <v>847</v>
      </c>
      <c r="AO95" t="s">
        <v>847</v>
      </c>
    </row>
    <row r="96" spans="1:41" x14ac:dyDescent="0.25">
      <c r="A96" t="s">
        <v>722</v>
      </c>
      <c r="B96" t="s">
        <v>210</v>
      </c>
      <c r="C96" t="s">
        <v>723</v>
      </c>
      <c r="D96">
        <f>ROUND(
  (
    --SUBSTITUTE(LEFT(C96,19),"T"," ")
    - DATE(1970,1,1)
  ) * 86400000,
  0
)</f>
        <v>1672329470000</v>
      </c>
      <c r="E96" t="str">
        <f>LEFT(D96,10) &amp; "." &amp; RIGHT(D96,3)</f>
        <v>1672329470.000</v>
      </c>
      <c r="F96" s="3">
        <f>(((E96/60)/60)/24)+DATE(1970,1,1)</f>
        <v>44924.665162037039</v>
      </c>
      <c r="G96" t="str">
        <f>_xlfn.XLOOKUP(
  WorkoutData[[#This Row],[gmailMessageId]],
  WorkoutData_old[gmailMessageId],
  WorkoutData_old[WorkoutType]
)</f>
        <v>2G</v>
      </c>
      <c r="H96" s="4">
        <v>0.41666666666666669</v>
      </c>
      <c r="I96" t="s">
        <v>431</v>
      </c>
      <c r="J96" t="s">
        <v>509</v>
      </c>
      <c r="K96">
        <v>841</v>
      </c>
      <c r="L96">
        <v>30</v>
      </c>
      <c r="M96">
        <v>151</v>
      </c>
      <c r="N96">
        <v>191</v>
      </c>
      <c r="O96">
        <v>4326</v>
      </c>
      <c r="P96">
        <v>2.74</v>
      </c>
      <c r="Q96">
        <v>1489</v>
      </c>
      <c r="R96">
        <v>6.6</v>
      </c>
      <c r="S96">
        <v>9</v>
      </c>
      <c r="T96">
        <v>1</v>
      </c>
      <c r="U96">
        <v>1</v>
      </c>
      <c r="V96">
        <v>543</v>
      </c>
      <c r="W96">
        <v>400</v>
      </c>
      <c r="X96">
        <v>144.36000000000001</v>
      </c>
      <c r="AH96">
        <v>57</v>
      </c>
      <c r="AI96">
        <v>14</v>
      </c>
      <c r="AJ96">
        <v>3</v>
      </c>
      <c r="AK96">
        <v>10</v>
      </c>
      <c r="AL96">
        <v>8</v>
      </c>
      <c r="AM96">
        <v>22</v>
      </c>
      <c r="AN96" t="s">
        <v>724</v>
      </c>
      <c r="AO96" t="s">
        <v>724</v>
      </c>
    </row>
    <row r="97" spans="1:41" x14ac:dyDescent="0.25">
      <c r="A97" t="s">
        <v>1029</v>
      </c>
      <c r="B97" t="s">
        <v>208</v>
      </c>
      <c r="C97" t="s">
        <v>1030</v>
      </c>
      <c r="D97">
        <f>ROUND(
  (
    --SUBSTITUTE(LEFT(C97,19),"T"," ")
    - DATE(1970,1,1)
  ) * 86400000,
  0
)</f>
        <v>1672682301000</v>
      </c>
      <c r="E97" t="str">
        <f>LEFT(D97,10) &amp; "." &amp; RIGHT(D97,3)</f>
        <v>1672682301.000</v>
      </c>
      <c r="F97" s="3">
        <f>(((E97/60)/60)/24)+DATE(1970,1,1)</f>
        <v>44928.748854166668</v>
      </c>
      <c r="G97" t="str">
        <f>_xlfn.XLOOKUP(
  WorkoutData[[#This Row],[gmailMessageId]],
  WorkoutData_old[gmailMessageId],
  WorkoutData_old[WorkoutType]
)</f>
        <v>2G</v>
      </c>
      <c r="H97" s="4">
        <v>0.5</v>
      </c>
      <c r="I97" t="s">
        <v>431</v>
      </c>
      <c r="J97" t="s">
        <v>834</v>
      </c>
      <c r="K97">
        <v>985</v>
      </c>
      <c r="L97">
        <v>39</v>
      </c>
      <c r="M97">
        <v>165</v>
      </c>
      <c r="N97">
        <v>190</v>
      </c>
      <c r="O97">
        <v>4131</v>
      </c>
      <c r="P97">
        <v>0.9</v>
      </c>
      <c r="Q97">
        <v>523</v>
      </c>
      <c r="R97">
        <v>6.5</v>
      </c>
      <c r="S97">
        <v>10</v>
      </c>
      <c r="T97">
        <v>1</v>
      </c>
      <c r="U97">
        <v>1</v>
      </c>
      <c r="V97">
        <v>553</v>
      </c>
      <c r="W97">
        <v>360</v>
      </c>
      <c r="X97">
        <v>47.5</v>
      </c>
      <c r="Y97">
        <v>2867</v>
      </c>
      <c r="Z97">
        <v>938</v>
      </c>
      <c r="AA97">
        <v>6</v>
      </c>
      <c r="AB97">
        <v>384</v>
      </c>
      <c r="AC97">
        <v>16.8</v>
      </c>
      <c r="AD97">
        <v>20.3</v>
      </c>
      <c r="AE97">
        <v>107</v>
      </c>
      <c r="AF97">
        <v>88</v>
      </c>
      <c r="AG97">
        <v>26.1</v>
      </c>
      <c r="AH97">
        <v>57</v>
      </c>
      <c r="AI97">
        <v>2</v>
      </c>
      <c r="AJ97">
        <v>1</v>
      </c>
      <c r="AK97">
        <v>15</v>
      </c>
      <c r="AL97">
        <v>28</v>
      </c>
      <c r="AM97">
        <v>11</v>
      </c>
      <c r="AN97" t="s">
        <v>1031</v>
      </c>
      <c r="AO97" t="s">
        <v>1031</v>
      </c>
    </row>
    <row r="98" spans="1:41" x14ac:dyDescent="0.25">
      <c r="A98" t="s">
        <v>839</v>
      </c>
      <c r="B98" t="s">
        <v>206</v>
      </c>
      <c r="C98" t="s">
        <v>840</v>
      </c>
      <c r="D98">
        <f>ROUND(
  (
    --SUBSTITUTE(LEFT(C98,19),"T"," ")
    - DATE(1970,1,1)
  ) * 86400000,
  0
)</f>
        <v>1672768685000</v>
      </c>
      <c r="E98" t="str">
        <f>LEFT(D98,10) &amp; "." &amp; RIGHT(D98,3)</f>
        <v>1672768685.000</v>
      </c>
      <c r="F98" s="3">
        <f>(((E98/60)/60)/24)+DATE(1970,1,1)</f>
        <v>44929.748668981483</v>
      </c>
      <c r="G98" t="str">
        <f>_xlfn.XLOOKUP(
  WorkoutData[[#This Row],[gmailMessageId]],
  WorkoutData_old[gmailMessageId],
  WorkoutData_old[WorkoutType]
)</f>
        <v>2G</v>
      </c>
      <c r="H98" s="4">
        <v>0.5</v>
      </c>
      <c r="I98" t="s">
        <v>433</v>
      </c>
      <c r="J98" t="s">
        <v>546</v>
      </c>
      <c r="K98">
        <v>873</v>
      </c>
      <c r="L98">
        <v>23</v>
      </c>
      <c r="M98">
        <v>152</v>
      </c>
      <c r="N98">
        <v>189</v>
      </c>
      <c r="O98">
        <v>4518</v>
      </c>
      <c r="P98">
        <v>2.92</v>
      </c>
      <c r="Q98">
        <v>1545</v>
      </c>
      <c r="R98">
        <v>6.8</v>
      </c>
      <c r="S98">
        <v>12</v>
      </c>
      <c r="T98">
        <v>1.6</v>
      </c>
      <c r="U98">
        <v>4</v>
      </c>
      <c r="V98">
        <v>526</v>
      </c>
      <c r="W98">
        <v>300</v>
      </c>
      <c r="X98">
        <v>244.78</v>
      </c>
      <c r="Y98">
        <v>901</v>
      </c>
      <c r="Z98">
        <v>435</v>
      </c>
      <c r="AA98">
        <v>9</v>
      </c>
      <c r="AB98">
        <v>500</v>
      </c>
      <c r="AC98">
        <v>19.600000000000001</v>
      </c>
      <c r="AD98">
        <v>22.9</v>
      </c>
      <c r="AE98">
        <v>92</v>
      </c>
      <c r="AF98">
        <v>78</v>
      </c>
      <c r="AG98">
        <v>30.8</v>
      </c>
      <c r="AH98">
        <v>58</v>
      </c>
      <c r="AI98">
        <v>7</v>
      </c>
      <c r="AJ98">
        <v>8</v>
      </c>
      <c r="AK98">
        <v>20</v>
      </c>
      <c r="AL98">
        <v>16</v>
      </c>
      <c r="AM98">
        <v>7</v>
      </c>
      <c r="AN98" t="s">
        <v>841</v>
      </c>
      <c r="AO98" t="s">
        <v>841</v>
      </c>
    </row>
    <row r="99" spans="1:41" x14ac:dyDescent="0.25">
      <c r="A99" t="s">
        <v>691</v>
      </c>
      <c r="B99" t="s">
        <v>204</v>
      </c>
      <c r="C99" t="s">
        <v>692</v>
      </c>
      <c r="D99">
        <f>ROUND(
  (
    --SUBSTITUTE(LEFT(C99,19),"T"," ")
    - DATE(1970,1,1)
  ) * 86400000,
  0
)</f>
        <v>1672941537000</v>
      </c>
      <c r="E99" t="str">
        <f>LEFT(D99,10) &amp; "." &amp; RIGHT(D99,3)</f>
        <v>1672941537.000</v>
      </c>
      <c r="F99" s="3">
        <f>(((E99/60)/60)/24)+DATE(1970,1,1)</f>
        <v>44931.74927083333</v>
      </c>
      <c r="G99" t="str">
        <f>_xlfn.XLOOKUP(
  WorkoutData[[#This Row],[gmailMessageId]],
  WorkoutData_old[gmailMessageId],
  WorkoutData_old[WorkoutType]
)</f>
        <v>2G</v>
      </c>
      <c r="H99" s="4">
        <v>0.5</v>
      </c>
      <c r="I99" t="s">
        <v>431</v>
      </c>
      <c r="J99" t="s">
        <v>509</v>
      </c>
      <c r="K99">
        <v>836</v>
      </c>
      <c r="L99">
        <v>22</v>
      </c>
      <c r="M99">
        <v>157</v>
      </c>
      <c r="N99">
        <v>186</v>
      </c>
      <c r="O99">
        <v>4169</v>
      </c>
      <c r="P99">
        <v>3.03</v>
      </c>
      <c r="Q99">
        <v>1519</v>
      </c>
      <c r="R99">
        <v>7.1</v>
      </c>
      <c r="S99">
        <v>9</v>
      </c>
      <c r="T99">
        <v>1</v>
      </c>
      <c r="U99">
        <v>3</v>
      </c>
      <c r="V99">
        <v>503</v>
      </c>
      <c r="W99">
        <v>400</v>
      </c>
      <c r="X99">
        <v>164.68</v>
      </c>
      <c r="AH99">
        <v>52</v>
      </c>
      <c r="AI99">
        <v>3</v>
      </c>
      <c r="AJ99">
        <v>5</v>
      </c>
      <c r="AK99">
        <v>22</v>
      </c>
      <c r="AL99">
        <v>16</v>
      </c>
      <c r="AM99">
        <v>6</v>
      </c>
      <c r="AN99" t="s">
        <v>693</v>
      </c>
      <c r="AO99" t="s">
        <v>693</v>
      </c>
    </row>
    <row r="100" spans="1:41" x14ac:dyDescent="0.25">
      <c r="A100" t="s">
        <v>667</v>
      </c>
      <c r="B100" t="s">
        <v>202</v>
      </c>
      <c r="C100" t="s">
        <v>668</v>
      </c>
      <c r="D100">
        <f>ROUND(
  (
    --SUBSTITUTE(LEFT(C100,19),"T"," ")
    - DATE(1970,1,1)
  ) * 86400000,
  0
)</f>
        <v>1673459962000</v>
      </c>
      <c r="E100" t="str">
        <f>LEFT(D100,10) &amp; "." &amp; RIGHT(D100,3)</f>
        <v>1673459962.000</v>
      </c>
      <c r="F100" s="3">
        <f>(((E100/60)/60)/24)+DATE(1970,1,1)</f>
        <v>44937.749560185184</v>
      </c>
      <c r="G100" t="str">
        <f>_xlfn.XLOOKUP(
  WorkoutData[[#This Row],[gmailMessageId]],
  WorkoutData_old[gmailMessageId],
  WorkoutData_old[WorkoutType]
)</f>
        <v>2G</v>
      </c>
      <c r="H100" s="4">
        <v>0.5</v>
      </c>
      <c r="I100" t="s">
        <v>433</v>
      </c>
      <c r="J100" t="s">
        <v>461</v>
      </c>
      <c r="K100">
        <v>831</v>
      </c>
      <c r="L100">
        <v>12</v>
      </c>
      <c r="M100">
        <v>147</v>
      </c>
      <c r="N100">
        <v>190</v>
      </c>
      <c r="O100">
        <v>4044</v>
      </c>
      <c r="P100">
        <v>2.33</v>
      </c>
      <c r="Q100">
        <v>1239</v>
      </c>
      <c r="R100">
        <v>6.7</v>
      </c>
      <c r="S100">
        <v>12</v>
      </c>
      <c r="T100">
        <v>1</v>
      </c>
      <c r="U100">
        <v>1</v>
      </c>
      <c r="V100">
        <v>537</v>
      </c>
      <c r="W100">
        <v>300</v>
      </c>
      <c r="X100">
        <v>122.92</v>
      </c>
      <c r="Y100">
        <v>364</v>
      </c>
      <c r="Z100">
        <v>358</v>
      </c>
      <c r="AA100">
        <v>3</v>
      </c>
      <c r="AB100">
        <v>176</v>
      </c>
      <c r="AC100">
        <v>13.4</v>
      </c>
      <c r="AD100">
        <v>15.2</v>
      </c>
      <c r="AE100">
        <v>134</v>
      </c>
      <c r="AF100">
        <v>118</v>
      </c>
      <c r="AG100">
        <v>25.9</v>
      </c>
      <c r="AH100">
        <v>58</v>
      </c>
      <c r="AI100">
        <v>4</v>
      </c>
      <c r="AJ100">
        <v>14</v>
      </c>
      <c r="AK100">
        <v>28</v>
      </c>
      <c r="AL100">
        <v>6</v>
      </c>
      <c r="AM100">
        <v>6</v>
      </c>
      <c r="AN100" t="s">
        <v>669</v>
      </c>
      <c r="AO100" t="s">
        <v>669</v>
      </c>
    </row>
    <row r="101" spans="1:41" x14ac:dyDescent="0.25">
      <c r="A101" t="s">
        <v>832</v>
      </c>
      <c r="B101" t="s">
        <v>200</v>
      </c>
      <c r="C101" t="s">
        <v>833</v>
      </c>
      <c r="D101">
        <f>ROUND(
  (
    --SUBSTITUTE(LEFT(C101,19),"T"," ")
    - DATE(1970,1,1)
  ) * 86400000,
  0
)</f>
        <v>1674064684000</v>
      </c>
      <c r="E101" t="str">
        <f>LEFT(D101,10) &amp; "." &amp; RIGHT(D101,3)</f>
        <v>1674064684.000</v>
      </c>
      <c r="F101" s="3">
        <f>(((E101/60)/60)/24)+DATE(1970,1,1)</f>
        <v>44944.748657407406</v>
      </c>
      <c r="G101" t="str">
        <f>_xlfn.XLOOKUP(
  WorkoutData[[#This Row],[gmailMessageId]],
  WorkoutData_old[gmailMessageId],
  WorkoutData_old[WorkoutType]
)</f>
        <v>3G</v>
      </c>
      <c r="H101" s="4">
        <v>0.5</v>
      </c>
      <c r="I101" t="s">
        <v>431</v>
      </c>
      <c r="J101" t="s">
        <v>834</v>
      </c>
      <c r="K101">
        <v>871</v>
      </c>
      <c r="L101">
        <v>27</v>
      </c>
      <c r="M101">
        <v>155</v>
      </c>
      <c r="N101">
        <v>181</v>
      </c>
      <c r="O101">
        <v>3807</v>
      </c>
      <c r="P101">
        <v>1.89</v>
      </c>
      <c r="Q101">
        <v>962</v>
      </c>
      <c r="R101">
        <v>7</v>
      </c>
      <c r="S101">
        <v>12</v>
      </c>
      <c r="T101">
        <v>1.1000000000000001</v>
      </c>
      <c r="U101">
        <v>9</v>
      </c>
      <c r="V101">
        <v>510</v>
      </c>
      <c r="W101">
        <v>300</v>
      </c>
      <c r="X101">
        <v>104.9</v>
      </c>
      <c r="Y101">
        <v>2522</v>
      </c>
      <c r="Z101">
        <v>1252</v>
      </c>
      <c r="AA101">
        <v>2</v>
      </c>
      <c r="AB101">
        <v>416</v>
      </c>
      <c r="AC101">
        <v>16.600000000000001</v>
      </c>
      <c r="AD101">
        <v>21.9</v>
      </c>
      <c r="AE101">
        <v>110</v>
      </c>
      <c r="AF101">
        <v>82</v>
      </c>
      <c r="AG101">
        <v>27.6</v>
      </c>
      <c r="AH101">
        <v>56</v>
      </c>
      <c r="AI101">
        <v>2</v>
      </c>
      <c r="AJ101">
        <v>3</v>
      </c>
      <c r="AK101">
        <v>24</v>
      </c>
      <c r="AL101">
        <v>23</v>
      </c>
      <c r="AM101">
        <v>4</v>
      </c>
      <c r="AN101" t="s">
        <v>835</v>
      </c>
      <c r="AO101" t="s">
        <v>835</v>
      </c>
    </row>
    <row r="102" spans="1:41" x14ac:dyDescent="0.25">
      <c r="A102" t="s">
        <v>615</v>
      </c>
      <c r="B102" t="s">
        <v>198</v>
      </c>
      <c r="C102" t="s">
        <v>616</v>
      </c>
      <c r="D102">
        <f>ROUND(
  (
    --SUBSTITUTE(LEFT(C102,19),"T"," ")
    - DATE(1970,1,1)
  ) * 86400000,
  0
)</f>
        <v>1674668678000</v>
      </c>
      <c r="E102" t="str">
        <f>LEFT(D102,10) &amp; "." &amp; RIGHT(D102,3)</f>
        <v>1674668678.000</v>
      </c>
      <c r="F102" s="3">
        <f>(((E102/60)/60)/24)+DATE(1970,1,1)</f>
        <v>44951.739328703698</v>
      </c>
      <c r="G102" t="str">
        <f>_xlfn.XLOOKUP(
  WorkoutData[[#This Row],[gmailMessageId]],
  WorkoutData_old[gmailMessageId],
  WorkoutData_old[WorkoutType]
)</f>
        <v>2G</v>
      </c>
      <c r="H102" s="4">
        <v>0.48958333333333331</v>
      </c>
      <c r="I102" t="s">
        <v>433</v>
      </c>
      <c r="J102" t="s">
        <v>461</v>
      </c>
      <c r="K102">
        <v>798</v>
      </c>
      <c r="L102">
        <v>19</v>
      </c>
      <c r="M102">
        <v>150</v>
      </c>
      <c r="N102">
        <v>182</v>
      </c>
      <c r="O102">
        <v>4097</v>
      </c>
      <c r="P102">
        <v>2.62</v>
      </c>
      <c r="Q102">
        <v>1418</v>
      </c>
      <c r="R102">
        <v>6.4</v>
      </c>
      <c r="S102">
        <v>12</v>
      </c>
      <c r="T102">
        <v>1.6</v>
      </c>
      <c r="U102">
        <v>5</v>
      </c>
      <c r="V102">
        <v>559</v>
      </c>
      <c r="W102">
        <v>300</v>
      </c>
      <c r="X102">
        <v>227.1</v>
      </c>
      <c r="Y102">
        <v>230</v>
      </c>
      <c r="Z102">
        <v>55</v>
      </c>
      <c r="AA102">
        <v>8</v>
      </c>
      <c r="AB102">
        <v>374</v>
      </c>
      <c r="AC102">
        <v>16.100000000000001</v>
      </c>
      <c r="AD102">
        <v>19.2</v>
      </c>
      <c r="AE102">
        <v>102</v>
      </c>
      <c r="AF102">
        <v>93</v>
      </c>
      <c r="AG102">
        <v>26.3</v>
      </c>
      <c r="AH102">
        <v>54</v>
      </c>
      <c r="AI102">
        <v>5</v>
      </c>
      <c r="AJ102">
        <v>9</v>
      </c>
      <c r="AK102">
        <v>21</v>
      </c>
      <c r="AL102">
        <v>18</v>
      </c>
      <c r="AM102">
        <v>1</v>
      </c>
      <c r="AN102" t="s">
        <v>617</v>
      </c>
      <c r="AO102" t="s">
        <v>617</v>
      </c>
    </row>
    <row r="103" spans="1:41" x14ac:dyDescent="0.25">
      <c r="A103" t="s">
        <v>548</v>
      </c>
      <c r="B103" t="s">
        <v>196</v>
      </c>
      <c r="C103" t="s">
        <v>549</v>
      </c>
      <c r="D103">
        <f>ROUND(
  (
    --SUBSTITUTE(LEFT(C103,19),"T"," ")
    - DATE(1970,1,1)
  ) * 86400000,
  0
)</f>
        <v>1675101486000</v>
      </c>
      <c r="E103" t="str">
        <f>LEFT(D103,10) &amp; "." &amp; RIGHT(D103,3)</f>
        <v>1675101486.000</v>
      </c>
      <c r="F103" s="3">
        <f>(((E103/60)/60)/24)+DATE(1970,1,1)</f>
        <v>44956.748680555553</v>
      </c>
      <c r="G103" t="str">
        <f>_xlfn.XLOOKUP(
  WorkoutData[[#This Row],[gmailMessageId]],
  WorkoutData_old[gmailMessageId],
  WorkoutData_old[WorkoutType]
)</f>
        <v>2G</v>
      </c>
      <c r="H103" s="4">
        <v>0.5</v>
      </c>
      <c r="I103" t="s">
        <v>550</v>
      </c>
      <c r="J103" t="s">
        <v>551</v>
      </c>
      <c r="K103">
        <v>769</v>
      </c>
      <c r="L103">
        <v>23</v>
      </c>
      <c r="M103">
        <v>142</v>
      </c>
      <c r="N103">
        <v>182</v>
      </c>
      <c r="O103">
        <v>3876</v>
      </c>
      <c r="P103">
        <v>2.3199999999999998</v>
      </c>
      <c r="Q103">
        <v>1442</v>
      </c>
      <c r="R103">
        <v>5.8</v>
      </c>
      <c r="S103">
        <v>11</v>
      </c>
      <c r="T103">
        <v>3.9</v>
      </c>
      <c r="U103">
        <v>12</v>
      </c>
      <c r="V103">
        <v>617</v>
      </c>
      <c r="W103">
        <v>327</v>
      </c>
      <c r="X103">
        <v>479.39</v>
      </c>
      <c r="Y103">
        <v>898</v>
      </c>
      <c r="Z103">
        <v>340</v>
      </c>
      <c r="AA103">
        <v>313</v>
      </c>
      <c r="AB103">
        <v>562</v>
      </c>
      <c r="AC103">
        <v>18.8</v>
      </c>
      <c r="AD103">
        <v>23.2</v>
      </c>
      <c r="AE103">
        <v>98</v>
      </c>
      <c r="AF103">
        <v>77</v>
      </c>
      <c r="AG103">
        <v>26.7</v>
      </c>
      <c r="AH103">
        <v>56</v>
      </c>
      <c r="AI103">
        <v>17</v>
      </c>
      <c r="AJ103">
        <v>4</v>
      </c>
      <c r="AK103">
        <v>12</v>
      </c>
      <c r="AL103">
        <v>22</v>
      </c>
      <c r="AM103">
        <v>1</v>
      </c>
      <c r="AN103" t="s">
        <v>552</v>
      </c>
      <c r="AO103" t="s">
        <v>552</v>
      </c>
    </row>
    <row r="104" spans="1:41" x14ac:dyDescent="0.25">
      <c r="A104" t="s">
        <v>991</v>
      </c>
      <c r="B104" t="s">
        <v>194</v>
      </c>
      <c r="C104" t="s">
        <v>992</v>
      </c>
      <c r="D104">
        <f>ROUND(
  (
    --SUBSTITUTE(LEFT(C104,19),"T"," ")
    - DATE(1970,1,1)
  ) * 86400000,
  0
)</f>
        <v>1675791790000</v>
      </c>
      <c r="E104" t="str">
        <f>LEFT(D104,10) &amp; "." &amp; RIGHT(D104,3)</f>
        <v>1675791790.000</v>
      </c>
      <c r="F104" s="3">
        <f>(((E104/60)/60)/24)+DATE(1970,1,1)</f>
        <v>44964.738310185188</v>
      </c>
      <c r="G104" t="str">
        <f>_xlfn.XLOOKUP(
  WorkoutData[[#This Row],[gmailMessageId]],
  WorkoutData_old[gmailMessageId],
  WorkoutData_old[WorkoutType]
)</f>
        <v>2G</v>
      </c>
      <c r="H104" s="4">
        <v>0.48958333333333331</v>
      </c>
      <c r="I104" t="s">
        <v>433</v>
      </c>
      <c r="J104" t="s">
        <v>546</v>
      </c>
      <c r="K104">
        <v>937</v>
      </c>
      <c r="L104">
        <v>34</v>
      </c>
      <c r="M104">
        <v>160</v>
      </c>
      <c r="N104">
        <v>208</v>
      </c>
      <c r="O104">
        <v>4108</v>
      </c>
      <c r="P104">
        <v>3.12</v>
      </c>
      <c r="Q104">
        <v>1566</v>
      </c>
      <c r="R104">
        <v>7.2</v>
      </c>
      <c r="S104">
        <v>11</v>
      </c>
      <c r="T104">
        <v>1</v>
      </c>
      <c r="U104">
        <v>1</v>
      </c>
      <c r="V104">
        <v>502</v>
      </c>
      <c r="W104">
        <v>327</v>
      </c>
      <c r="X104">
        <v>164.55</v>
      </c>
      <c r="Y104">
        <v>1084</v>
      </c>
      <c r="Z104">
        <v>705</v>
      </c>
      <c r="AA104">
        <v>6</v>
      </c>
      <c r="AB104">
        <v>346</v>
      </c>
      <c r="AC104">
        <v>16.899999999999999</v>
      </c>
      <c r="AD104">
        <v>19.399999999999999</v>
      </c>
      <c r="AE104">
        <v>107</v>
      </c>
      <c r="AF104">
        <v>92</v>
      </c>
      <c r="AG104">
        <v>20.6</v>
      </c>
      <c r="AH104">
        <v>58</v>
      </c>
      <c r="AI104">
        <v>4</v>
      </c>
      <c r="AJ104">
        <v>3</v>
      </c>
      <c r="AK104">
        <v>17</v>
      </c>
      <c r="AL104">
        <v>21</v>
      </c>
      <c r="AM104">
        <v>13</v>
      </c>
      <c r="AN104" t="s">
        <v>993</v>
      </c>
      <c r="AO104" t="s">
        <v>993</v>
      </c>
    </row>
    <row r="105" spans="1:41" x14ac:dyDescent="0.25">
      <c r="A105" t="s">
        <v>780</v>
      </c>
      <c r="B105" t="s">
        <v>192</v>
      </c>
      <c r="C105" t="s">
        <v>781</v>
      </c>
      <c r="D105">
        <f>ROUND(
  (
    --SUBSTITUTE(LEFT(C105,19),"T"," ")
    - DATE(1970,1,1)
  ) * 86400000,
  0
)</f>
        <v>1676311195000</v>
      </c>
      <c r="E105" t="str">
        <f>LEFT(D105,10) &amp; "." &amp; RIGHT(D105,3)</f>
        <v>1676311195.000</v>
      </c>
      <c r="F105" s="3">
        <f>(((E105/60)/60)/24)+DATE(1970,1,1)</f>
        <v>44970.749942129631</v>
      </c>
      <c r="G105" t="str">
        <f>_xlfn.XLOOKUP(
  WorkoutData[[#This Row],[gmailMessageId]],
  WorkoutData_old[gmailMessageId],
  WorkoutData_old[WorkoutType]
)</f>
        <v>2G</v>
      </c>
      <c r="H105" s="4">
        <v>0.5</v>
      </c>
      <c r="I105" t="s">
        <v>550</v>
      </c>
      <c r="J105" t="s">
        <v>430</v>
      </c>
      <c r="K105">
        <v>857</v>
      </c>
      <c r="L105">
        <v>25</v>
      </c>
      <c r="M105">
        <v>149</v>
      </c>
      <c r="N105">
        <v>180</v>
      </c>
      <c r="O105">
        <v>4562</v>
      </c>
      <c r="P105">
        <v>3.3</v>
      </c>
      <c r="Q105">
        <v>1545</v>
      </c>
      <c r="R105">
        <v>7.7</v>
      </c>
      <c r="S105">
        <v>10</v>
      </c>
      <c r="T105">
        <v>1</v>
      </c>
      <c r="U105">
        <v>1</v>
      </c>
      <c r="V105">
        <v>468</v>
      </c>
      <c r="W105">
        <v>360</v>
      </c>
      <c r="X105">
        <v>173.79</v>
      </c>
      <c r="Y105">
        <v>850</v>
      </c>
      <c r="Z105">
        <v>493</v>
      </c>
      <c r="AA105">
        <v>4</v>
      </c>
      <c r="AB105">
        <v>292</v>
      </c>
      <c r="AC105">
        <v>16.600000000000001</v>
      </c>
      <c r="AD105">
        <v>18.2</v>
      </c>
      <c r="AE105">
        <v>109</v>
      </c>
      <c r="AF105">
        <v>98</v>
      </c>
      <c r="AG105">
        <v>22</v>
      </c>
      <c r="AH105">
        <v>60</v>
      </c>
      <c r="AI105">
        <v>10</v>
      </c>
      <c r="AJ105">
        <v>8</v>
      </c>
      <c r="AK105">
        <v>17</v>
      </c>
      <c r="AL105">
        <v>24</v>
      </c>
      <c r="AM105">
        <v>1</v>
      </c>
      <c r="AN105" t="s">
        <v>782</v>
      </c>
      <c r="AO105" t="s">
        <v>782</v>
      </c>
    </row>
    <row r="106" spans="1:41" x14ac:dyDescent="0.25">
      <c r="A106" t="s">
        <v>967</v>
      </c>
      <c r="B106" t="s">
        <v>190</v>
      </c>
      <c r="C106" t="s">
        <v>968</v>
      </c>
      <c r="D106">
        <f>ROUND(
  (
    --SUBSTITUTE(LEFT(C106,19),"T"," ")
    - DATE(1970,1,1)
  ) * 86400000,
  0
)</f>
        <v>1676570286000</v>
      </c>
      <c r="E106" t="str">
        <f>LEFT(D106,10) &amp; "." &amp; RIGHT(D106,3)</f>
        <v>1676570286.000</v>
      </c>
      <c r="F106" s="3">
        <f>(((E106/60)/60)/24)+DATE(1970,1,1)</f>
        <v>44973.748680555553</v>
      </c>
      <c r="G106" t="str">
        <f>_xlfn.XLOOKUP(
  WorkoutData[[#This Row],[gmailMessageId]],
  WorkoutData_old[gmailMessageId],
  WorkoutData_old[WorkoutType]
)</f>
        <v>2G</v>
      </c>
      <c r="H106" s="4">
        <v>0.5</v>
      </c>
      <c r="I106" t="s">
        <v>431</v>
      </c>
      <c r="J106" t="s">
        <v>509</v>
      </c>
      <c r="K106">
        <v>932</v>
      </c>
      <c r="L106">
        <v>28</v>
      </c>
      <c r="M106">
        <v>159</v>
      </c>
      <c r="N106">
        <v>183</v>
      </c>
      <c r="O106">
        <v>4558</v>
      </c>
      <c r="P106">
        <v>3.43</v>
      </c>
      <c r="Q106">
        <v>1747</v>
      </c>
      <c r="R106">
        <v>7.1</v>
      </c>
      <c r="S106">
        <v>12</v>
      </c>
      <c r="T106">
        <v>1</v>
      </c>
      <c r="U106">
        <v>1</v>
      </c>
      <c r="V106">
        <v>507</v>
      </c>
      <c r="W106">
        <v>300</v>
      </c>
      <c r="X106">
        <v>180.99</v>
      </c>
      <c r="Y106">
        <v>903</v>
      </c>
      <c r="Z106">
        <v>391</v>
      </c>
      <c r="AA106">
        <v>5</v>
      </c>
      <c r="AB106">
        <v>496</v>
      </c>
      <c r="AC106">
        <v>10.3</v>
      </c>
      <c r="AD106">
        <v>23</v>
      </c>
      <c r="AE106">
        <v>102</v>
      </c>
      <c r="AF106">
        <v>78</v>
      </c>
      <c r="AG106">
        <v>21.2</v>
      </c>
      <c r="AH106">
        <v>58</v>
      </c>
      <c r="AI106">
        <v>2</v>
      </c>
      <c r="AJ106">
        <v>4</v>
      </c>
      <c r="AK106">
        <v>24</v>
      </c>
      <c r="AL106">
        <v>25</v>
      </c>
      <c r="AM106">
        <v>3</v>
      </c>
      <c r="AN106" t="s">
        <v>969</v>
      </c>
      <c r="AO106" t="s">
        <v>969</v>
      </c>
    </row>
    <row r="107" spans="1:41" x14ac:dyDescent="0.25">
      <c r="A107" t="s">
        <v>459</v>
      </c>
      <c r="B107" t="s">
        <v>188</v>
      </c>
      <c r="C107" t="s">
        <v>460</v>
      </c>
      <c r="D107">
        <f>ROUND(
  (
    --SUBSTITUTE(LEFT(C107,19),"T"," ")
    - DATE(1970,1,1)
  ) * 86400000,
  0
)</f>
        <v>1676894295000</v>
      </c>
      <c r="E107" t="str">
        <f>LEFT(D107,10) &amp; "." &amp; RIGHT(D107,3)</f>
        <v>1676894295.000</v>
      </c>
      <c r="F107" s="3">
        <f>(((E107/60)/60)/24)+DATE(1970,1,1)</f>
        <v>44977.498784722222</v>
      </c>
      <c r="G107" t="str">
        <f>_xlfn.XLOOKUP(
  WorkoutData[[#This Row],[gmailMessageId]],
  WorkoutData_old[gmailMessageId],
  WorkoutData_old[WorkoutType]
)</f>
        <v>3G</v>
      </c>
      <c r="H107" s="4">
        <v>0.25</v>
      </c>
      <c r="I107" t="s">
        <v>433</v>
      </c>
      <c r="J107" t="s">
        <v>461</v>
      </c>
      <c r="K107">
        <v>664</v>
      </c>
      <c r="L107">
        <v>13</v>
      </c>
      <c r="M107">
        <v>129</v>
      </c>
      <c r="N107">
        <v>175</v>
      </c>
      <c r="O107">
        <v>3548</v>
      </c>
      <c r="P107">
        <v>2.02</v>
      </c>
      <c r="Q107">
        <v>1028</v>
      </c>
      <c r="R107">
        <v>7.1</v>
      </c>
      <c r="S107">
        <v>10</v>
      </c>
      <c r="T107">
        <v>1</v>
      </c>
      <c r="U107">
        <v>1</v>
      </c>
      <c r="V107">
        <v>507</v>
      </c>
      <c r="W107">
        <v>360</v>
      </c>
      <c r="X107">
        <v>106.24</v>
      </c>
      <c r="Y107">
        <v>2695</v>
      </c>
      <c r="Z107">
        <v>1345</v>
      </c>
      <c r="AA107">
        <v>5</v>
      </c>
      <c r="AB107">
        <v>472</v>
      </c>
      <c r="AC107">
        <v>17.7</v>
      </c>
      <c r="AD107">
        <v>22.6</v>
      </c>
      <c r="AE107">
        <v>103</v>
      </c>
      <c r="AF107">
        <v>79</v>
      </c>
      <c r="AG107">
        <v>25.3</v>
      </c>
      <c r="AH107">
        <v>57</v>
      </c>
      <c r="AI107">
        <v>23</v>
      </c>
      <c r="AJ107">
        <v>7</v>
      </c>
      <c r="AK107">
        <v>14</v>
      </c>
      <c r="AL107">
        <v>13</v>
      </c>
      <c r="AM107">
        <v>0</v>
      </c>
      <c r="AN107" t="s">
        <v>462</v>
      </c>
      <c r="AO107" t="s">
        <v>462</v>
      </c>
    </row>
    <row r="108" spans="1:41" x14ac:dyDescent="0.25">
      <c r="A108" t="s">
        <v>1009</v>
      </c>
      <c r="B108" t="s">
        <v>186</v>
      </c>
      <c r="C108" t="s">
        <v>1010</v>
      </c>
      <c r="D108">
        <f>ROUND(
  (
    --SUBSTITUTE(LEFT(C108,19),"T"," ")
    - DATE(1970,1,1)
  ) * 86400000,
  0
)</f>
        <v>1677175176000</v>
      </c>
      <c r="E108" t="str">
        <f>LEFT(D108,10) &amp; "." &amp; RIGHT(D108,3)</f>
        <v>1677175176.000</v>
      </c>
      <c r="F108" s="3">
        <f>(((E108/60)/60)/24)+DATE(1970,1,1)</f>
        <v>44980.749722222223</v>
      </c>
      <c r="G108" t="str">
        <f>_xlfn.XLOOKUP(
  WorkoutData[[#This Row],[gmailMessageId]],
  WorkoutData_old[gmailMessageId],
  WorkoutData_old[WorkoutType]
)</f>
        <v>2G</v>
      </c>
      <c r="H108" s="4">
        <v>0.5</v>
      </c>
      <c r="I108" t="s">
        <v>550</v>
      </c>
      <c r="J108" t="s">
        <v>1011</v>
      </c>
      <c r="K108">
        <v>948</v>
      </c>
      <c r="L108">
        <v>30</v>
      </c>
      <c r="M108">
        <v>160</v>
      </c>
      <c r="N108">
        <v>186</v>
      </c>
      <c r="O108">
        <v>4919</v>
      </c>
      <c r="P108">
        <v>3.37</v>
      </c>
      <c r="Q108">
        <v>1695</v>
      </c>
      <c r="R108">
        <v>7.1</v>
      </c>
      <c r="S108">
        <v>11</v>
      </c>
      <c r="T108">
        <v>1.7</v>
      </c>
      <c r="U108">
        <v>6</v>
      </c>
      <c r="V108">
        <v>504</v>
      </c>
      <c r="W108">
        <v>327</v>
      </c>
      <c r="X108">
        <v>296.99</v>
      </c>
      <c r="Y108">
        <v>1382</v>
      </c>
      <c r="Z108">
        <v>438</v>
      </c>
      <c r="AA108">
        <v>8</v>
      </c>
      <c r="AB108">
        <v>526</v>
      </c>
      <c r="AC108">
        <v>18.899999999999999</v>
      </c>
      <c r="AD108">
        <v>22.5</v>
      </c>
      <c r="AE108">
        <v>96</v>
      </c>
      <c r="AF108">
        <v>79</v>
      </c>
      <c r="AG108">
        <v>29</v>
      </c>
      <c r="AH108">
        <v>59</v>
      </c>
      <c r="AI108">
        <v>0</v>
      </c>
      <c r="AJ108">
        <v>6</v>
      </c>
      <c r="AK108">
        <v>23</v>
      </c>
      <c r="AL108">
        <v>28</v>
      </c>
      <c r="AM108">
        <v>2</v>
      </c>
      <c r="AN108" t="s">
        <v>1012</v>
      </c>
      <c r="AO108" t="s">
        <v>1012</v>
      </c>
    </row>
    <row r="109" spans="1:41" x14ac:dyDescent="0.25">
      <c r="A109" t="s">
        <v>544</v>
      </c>
      <c r="B109" t="s">
        <v>184</v>
      </c>
      <c r="C109" t="s">
        <v>545</v>
      </c>
      <c r="D109">
        <f>ROUND(
  (
    --SUBSTITUTE(LEFT(C109,19),"T"," ")
    - DATE(1970,1,1)
  ) * 86400000,
  0
)</f>
        <v>1677606187000</v>
      </c>
      <c r="E109" t="str">
        <f>LEFT(D109,10) &amp; "." &amp; RIGHT(D109,3)</f>
        <v>1677606187.000</v>
      </c>
      <c r="F109" s="3">
        <f>(((E109/60)/60)/24)+DATE(1970,1,1)</f>
        <v>44985.738275462965</v>
      </c>
      <c r="G109" t="str">
        <f>_xlfn.XLOOKUP(
  WorkoutData[[#This Row],[gmailMessageId]],
  WorkoutData_old[gmailMessageId],
  WorkoutData_old[WorkoutType]
)</f>
        <v>2G</v>
      </c>
      <c r="H109" s="4">
        <v>0.48958333333333331</v>
      </c>
      <c r="I109" t="s">
        <v>433</v>
      </c>
      <c r="J109" t="s">
        <v>546</v>
      </c>
      <c r="K109">
        <v>769</v>
      </c>
      <c r="L109">
        <v>29</v>
      </c>
      <c r="M109">
        <v>164</v>
      </c>
      <c r="N109">
        <v>187</v>
      </c>
      <c r="O109">
        <v>4329</v>
      </c>
      <c r="P109">
        <v>3.36</v>
      </c>
      <c r="Q109">
        <v>1624</v>
      </c>
      <c r="R109">
        <v>7.4</v>
      </c>
      <c r="S109">
        <v>9.5</v>
      </c>
      <c r="T109">
        <v>1</v>
      </c>
      <c r="U109">
        <v>1</v>
      </c>
      <c r="V109">
        <v>484</v>
      </c>
      <c r="W109">
        <v>379</v>
      </c>
      <c r="X109">
        <v>176.94</v>
      </c>
      <c r="AH109">
        <v>46</v>
      </c>
      <c r="AI109">
        <v>1</v>
      </c>
      <c r="AJ109">
        <v>5</v>
      </c>
      <c r="AK109">
        <v>11</v>
      </c>
      <c r="AL109">
        <v>17</v>
      </c>
      <c r="AM109">
        <v>12</v>
      </c>
      <c r="AN109" t="s">
        <v>547</v>
      </c>
      <c r="AO109" t="s">
        <v>547</v>
      </c>
    </row>
    <row r="110" spans="1:41" x14ac:dyDescent="0.25">
      <c r="A110" t="s">
        <v>589</v>
      </c>
      <c r="B110" t="s">
        <v>182</v>
      </c>
      <c r="C110" t="s">
        <v>590</v>
      </c>
      <c r="D110">
        <f>ROUND(
  (
    --SUBSTITUTE(LEFT(C110,19),"T"," ")
    - DATE(1970,1,1)
  ) * 86400000,
  0
)</f>
        <v>1677866445000</v>
      </c>
      <c r="E110" t="str">
        <f>LEFT(D110,10) &amp; "." &amp; RIGHT(D110,3)</f>
        <v>1677866445.000</v>
      </c>
      <c r="F110" s="3">
        <f>(((E110/60)/60)/24)+DATE(1970,1,1)</f>
        <v>44988.750520833331</v>
      </c>
      <c r="G110" t="str">
        <f>_xlfn.XLOOKUP(
  WorkoutData[[#This Row],[gmailMessageId]],
  WorkoutData_old[gmailMessageId],
  WorkoutData_old[WorkoutType]
)</f>
        <v>2G</v>
      </c>
      <c r="H110" s="4">
        <v>0.5</v>
      </c>
      <c r="I110" t="s">
        <v>431</v>
      </c>
      <c r="J110" t="s">
        <v>591</v>
      </c>
      <c r="K110">
        <v>785</v>
      </c>
      <c r="L110">
        <v>14</v>
      </c>
      <c r="M110">
        <v>142</v>
      </c>
      <c r="N110">
        <v>187</v>
      </c>
      <c r="O110">
        <v>3436</v>
      </c>
      <c r="P110">
        <v>2.0699999999999998</v>
      </c>
      <c r="Q110">
        <v>1143</v>
      </c>
      <c r="R110">
        <v>6.5</v>
      </c>
      <c r="S110">
        <v>10</v>
      </c>
      <c r="T110">
        <v>1</v>
      </c>
      <c r="U110">
        <v>1</v>
      </c>
      <c r="V110">
        <v>555</v>
      </c>
      <c r="W110">
        <v>360</v>
      </c>
      <c r="X110">
        <v>108.69</v>
      </c>
      <c r="Y110">
        <v>2283</v>
      </c>
      <c r="Z110">
        <v>531</v>
      </c>
      <c r="AA110">
        <v>233</v>
      </c>
      <c r="AB110">
        <v>374</v>
      </c>
      <c r="AC110">
        <v>17.600000000000001</v>
      </c>
      <c r="AD110">
        <v>36</v>
      </c>
      <c r="AE110">
        <v>103</v>
      </c>
      <c r="AF110">
        <v>50</v>
      </c>
      <c r="AG110">
        <v>27</v>
      </c>
      <c r="AH110">
        <v>57</v>
      </c>
      <c r="AI110">
        <v>9</v>
      </c>
      <c r="AJ110">
        <v>15</v>
      </c>
      <c r="AK110">
        <v>19</v>
      </c>
      <c r="AL110">
        <v>12</v>
      </c>
      <c r="AM110">
        <v>2</v>
      </c>
      <c r="AN110" t="s">
        <v>592</v>
      </c>
      <c r="AO110" t="s">
        <v>592</v>
      </c>
    </row>
    <row r="111" spans="1:41" x14ac:dyDescent="0.25">
      <c r="A111" t="s">
        <v>866</v>
      </c>
      <c r="B111" t="s">
        <v>180</v>
      </c>
      <c r="C111" t="s">
        <v>867</v>
      </c>
      <c r="D111">
        <f>ROUND(
  (
    --SUBSTITUTE(LEFT(C111,19),"T"," ")
    - DATE(1970,1,1)
  ) * 86400000,
  0
)</f>
        <v>1678297433000</v>
      </c>
      <c r="E111" t="str">
        <f>LEFT(D111,10) &amp; "." &amp; RIGHT(D111,3)</f>
        <v>1678297433.000</v>
      </c>
      <c r="F111" s="3">
        <f>(((E111/60)/60)/24)+DATE(1970,1,1)</f>
        <v>44993.738807870366</v>
      </c>
      <c r="G111" t="str">
        <f>_xlfn.XLOOKUP(
  WorkoutData[[#This Row],[gmailMessageId]],
  WorkoutData_old[gmailMessageId],
  WorkoutData_old[WorkoutType]
)</f>
        <v>2G</v>
      </c>
      <c r="H111" s="4">
        <v>0.48958333333333331</v>
      </c>
      <c r="I111" t="s">
        <v>433</v>
      </c>
      <c r="J111" t="s">
        <v>461</v>
      </c>
      <c r="K111">
        <v>885</v>
      </c>
      <c r="L111">
        <v>36</v>
      </c>
      <c r="M111">
        <v>160</v>
      </c>
      <c r="N111">
        <v>186</v>
      </c>
      <c r="O111">
        <v>3920</v>
      </c>
      <c r="P111">
        <v>2.16</v>
      </c>
      <c r="Q111">
        <v>1023</v>
      </c>
      <c r="R111">
        <v>7.6</v>
      </c>
      <c r="S111">
        <v>12</v>
      </c>
      <c r="T111">
        <v>1</v>
      </c>
      <c r="U111">
        <v>1</v>
      </c>
      <c r="V111">
        <v>474</v>
      </c>
      <c r="W111">
        <v>300</v>
      </c>
      <c r="X111">
        <v>113.77</v>
      </c>
      <c r="Y111">
        <v>2501</v>
      </c>
      <c r="Z111">
        <v>920</v>
      </c>
      <c r="AA111">
        <v>7</v>
      </c>
      <c r="AB111">
        <v>440</v>
      </c>
      <c r="AC111">
        <v>19.7</v>
      </c>
      <c r="AD111">
        <v>22.3</v>
      </c>
      <c r="AE111">
        <v>92</v>
      </c>
      <c r="AF111">
        <v>80</v>
      </c>
      <c r="AG111">
        <v>30.3</v>
      </c>
      <c r="AH111">
        <v>55</v>
      </c>
      <c r="AI111">
        <v>4</v>
      </c>
      <c r="AJ111">
        <v>4</v>
      </c>
      <c r="AK111">
        <v>11</v>
      </c>
      <c r="AL111">
        <v>35</v>
      </c>
      <c r="AM111">
        <v>1</v>
      </c>
      <c r="AN111" t="s">
        <v>868</v>
      </c>
      <c r="AO111" t="s">
        <v>868</v>
      </c>
    </row>
    <row r="112" spans="1:41" x14ac:dyDescent="0.25">
      <c r="A112" t="s">
        <v>947</v>
      </c>
      <c r="B112" t="s">
        <v>178</v>
      </c>
      <c r="C112" t="s">
        <v>948</v>
      </c>
      <c r="D112">
        <f>ROUND(
  (
    --SUBSTITUTE(LEFT(C112,19),"T"," ")
    - DATE(1970,1,1)
  ) * 86400000,
  0
)</f>
        <v>1678726679000</v>
      </c>
      <c r="E112" t="str">
        <f>LEFT(D112,10) &amp; "." &amp; RIGHT(D112,3)</f>
        <v>1678726679.000</v>
      </c>
      <c r="F112" s="3">
        <f>(((E112/60)/60)/24)+DATE(1970,1,1)</f>
        <v>44998.706932870366</v>
      </c>
      <c r="G112" t="str">
        <f>_xlfn.XLOOKUP(
  WorkoutData[[#This Row],[gmailMessageId]],
  WorkoutData_old[gmailMessageId],
  WorkoutData_old[WorkoutType]
)</f>
        <v>2G</v>
      </c>
      <c r="H112" s="4">
        <v>0.5</v>
      </c>
      <c r="I112" t="s">
        <v>550</v>
      </c>
      <c r="J112" t="s">
        <v>949</v>
      </c>
      <c r="K112">
        <v>919</v>
      </c>
      <c r="L112">
        <v>32</v>
      </c>
      <c r="M112">
        <v>160</v>
      </c>
      <c r="N112">
        <v>186</v>
      </c>
      <c r="O112">
        <v>4338</v>
      </c>
      <c r="P112">
        <v>2.86</v>
      </c>
      <c r="Q112">
        <v>1462</v>
      </c>
      <c r="R112">
        <v>7.1</v>
      </c>
      <c r="S112">
        <v>10</v>
      </c>
      <c r="T112">
        <v>1</v>
      </c>
      <c r="U112">
        <v>1</v>
      </c>
      <c r="V112">
        <v>509</v>
      </c>
      <c r="W112">
        <v>360</v>
      </c>
      <c r="X112">
        <v>151.21</v>
      </c>
      <c r="Y112">
        <v>2524</v>
      </c>
      <c r="Z112">
        <v>1161</v>
      </c>
      <c r="AA112">
        <v>4</v>
      </c>
      <c r="AB112">
        <v>486</v>
      </c>
      <c r="AC112">
        <v>9.5</v>
      </c>
      <c r="AD112">
        <v>22.7</v>
      </c>
      <c r="AE112">
        <v>97</v>
      </c>
      <c r="AF112">
        <v>79</v>
      </c>
      <c r="AG112">
        <v>29.9</v>
      </c>
      <c r="AH112">
        <v>58</v>
      </c>
      <c r="AI112">
        <v>2</v>
      </c>
      <c r="AJ112">
        <v>5</v>
      </c>
      <c r="AK112">
        <v>19</v>
      </c>
      <c r="AL112">
        <v>25</v>
      </c>
      <c r="AM112">
        <v>7</v>
      </c>
      <c r="AN112" t="s">
        <v>950</v>
      </c>
      <c r="AO112" t="s">
        <v>950</v>
      </c>
    </row>
    <row r="113" spans="1:41" x14ac:dyDescent="0.25">
      <c r="A113" t="s">
        <v>825</v>
      </c>
      <c r="B113" t="s">
        <v>176</v>
      </c>
      <c r="C113" t="s">
        <v>826</v>
      </c>
      <c r="D113">
        <f>ROUND(
  (
    --SUBSTITUTE(LEFT(C113,19),"T"," ")
    - DATE(1970,1,1)
  ) * 86400000,
  0
)</f>
        <v>1679418012000</v>
      </c>
      <c r="E113" t="str">
        <f>LEFT(D113,10) &amp; "." &amp; RIGHT(D113,3)</f>
        <v>1679418012.000</v>
      </c>
      <c r="F113" s="3">
        <f>(((E113/60)/60)/24)+DATE(1970,1,1)</f>
        <v>45006.708472222221</v>
      </c>
      <c r="G113" t="str">
        <f>_xlfn.XLOOKUP(
  WorkoutData[[#This Row],[gmailMessageId]],
  WorkoutData_old[gmailMessageId],
  WorkoutData_old[WorkoutType]
)</f>
        <v>2G</v>
      </c>
      <c r="H113" s="4">
        <v>0.5</v>
      </c>
      <c r="I113" t="s">
        <v>550</v>
      </c>
      <c r="J113" t="s">
        <v>827</v>
      </c>
      <c r="K113">
        <v>870</v>
      </c>
      <c r="L113">
        <v>25</v>
      </c>
      <c r="M113">
        <v>150</v>
      </c>
      <c r="N113">
        <v>186</v>
      </c>
      <c r="O113">
        <v>4046</v>
      </c>
      <c r="P113">
        <v>1.86</v>
      </c>
      <c r="Q113">
        <v>1008</v>
      </c>
      <c r="R113">
        <v>6.9</v>
      </c>
      <c r="S113">
        <v>12</v>
      </c>
      <c r="T113">
        <v>1.6</v>
      </c>
      <c r="U113">
        <v>7</v>
      </c>
      <c r="V113">
        <v>520</v>
      </c>
      <c r="W113">
        <v>300</v>
      </c>
      <c r="X113">
        <v>158.38</v>
      </c>
      <c r="Y113">
        <v>2318</v>
      </c>
      <c r="Z113">
        <v>948</v>
      </c>
      <c r="AA113">
        <v>6</v>
      </c>
      <c r="AB113">
        <v>455</v>
      </c>
      <c r="AC113">
        <v>16.7</v>
      </c>
      <c r="AD113">
        <v>21.6</v>
      </c>
      <c r="AE113">
        <v>108</v>
      </c>
      <c r="AF113">
        <v>83</v>
      </c>
      <c r="AG113">
        <v>26.1</v>
      </c>
      <c r="AH113">
        <v>59</v>
      </c>
      <c r="AI113">
        <v>10</v>
      </c>
      <c r="AJ113">
        <v>9</v>
      </c>
      <c r="AK113">
        <v>15</v>
      </c>
      <c r="AL113">
        <v>18</v>
      </c>
      <c r="AM113">
        <v>7</v>
      </c>
      <c r="AN113" t="s">
        <v>828</v>
      </c>
      <c r="AO113" t="s">
        <v>828</v>
      </c>
    </row>
    <row r="114" spans="1:41" x14ac:dyDescent="0.25">
      <c r="A114" t="s">
        <v>1026</v>
      </c>
      <c r="B114" t="s">
        <v>174</v>
      </c>
      <c r="C114" t="s">
        <v>1027</v>
      </c>
      <c r="D114">
        <f>ROUND(
  (
    --SUBSTITUTE(LEFT(C114,19),"T"," ")
    - DATE(1970,1,1)
  ) * 86400000,
  0
)</f>
        <v>1680195487000</v>
      </c>
      <c r="E114" t="str">
        <f>LEFT(D114,10) &amp; "." &amp; RIGHT(D114,3)</f>
        <v>1680195487.000</v>
      </c>
      <c r="F114" s="3">
        <f>(((E114/60)/60)/24)+DATE(1970,1,1)</f>
        <v>45015.707025462965</v>
      </c>
      <c r="G114" t="str">
        <f>_xlfn.XLOOKUP(
  WorkoutData[[#This Row],[gmailMessageId]],
  WorkoutData_old[gmailMessageId],
  WorkoutData_old[WorkoutType]
)</f>
        <v>2G</v>
      </c>
      <c r="H114" s="4">
        <v>0.5</v>
      </c>
      <c r="I114" t="s">
        <v>550</v>
      </c>
      <c r="J114" t="s">
        <v>972</v>
      </c>
      <c r="K114">
        <v>967</v>
      </c>
      <c r="L114">
        <v>38</v>
      </c>
      <c r="M114">
        <v>164</v>
      </c>
      <c r="N114">
        <v>188</v>
      </c>
      <c r="O114">
        <v>4106</v>
      </c>
      <c r="P114">
        <v>3.39</v>
      </c>
      <c r="Q114">
        <v>1633</v>
      </c>
      <c r="R114">
        <v>7.5</v>
      </c>
      <c r="S114">
        <v>10</v>
      </c>
      <c r="T114">
        <v>1</v>
      </c>
      <c r="U114">
        <v>1</v>
      </c>
      <c r="V114">
        <v>482</v>
      </c>
      <c r="W114">
        <v>360</v>
      </c>
      <c r="X114">
        <v>179.12</v>
      </c>
      <c r="AH114">
        <v>57</v>
      </c>
      <c r="AI114">
        <v>2</v>
      </c>
      <c r="AJ114">
        <v>4</v>
      </c>
      <c r="AK114">
        <v>13</v>
      </c>
      <c r="AL114">
        <v>26</v>
      </c>
      <c r="AM114">
        <v>12</v>
      </c>
      <c r="AN114" t="s">
        <v>1028</v>
      </c>
      <c r="AO114" t="s">
        <v>1028</v>
      </c>
    </row>
    <row r="115" spans="1:41" x14ac:dyDescent="0.25">
      <c r="A115" t="s">
        <v>612</v>
      </c>
      <c r="B115" t="s">
        <v>172</v>
      </c>
      <c r="C115" t="s">
        <v>613</v>
      </c>
      <c r="D115">
        <f>ROUND(
  (
    --SUBSTITUTE(LEFT(C115,19),"T"," ")
    - DATE(1970,1,1)
  ) * 86400000,
  0
)</f>
        <v>1680800281000</v>
      </c>
      <c r="E115" t="str">
        <f>LEFT(D115,10) &amp; "." &amp; RIGHT(D115,3)</f>
        <v>1680800281.000</v>
      </c>
      <c r="F115" s="3">
        <f>(((E115/60)/60)/24)+DATE(1970,1,1)</f>
        <v>45022.706956018519</v>
      </c>
      <c r="G115" t="str">
        <f>_xlfn.XLOOKUP(
  WorkoutData[[#This Row],[gmailMessageId]],
  WorkoutData_old[gmailMessageId],
  WorkoutData_old[WorkoutType]
)</f>
        <v>2G</v>
      </c>
      <c r="H115" s="4">
        <v>0.5</v>
      </c>
      <c r="I115" t="s">
        <v>431</v>
      </c>
      <c r="J115" t="s">
        <v>509</v>
      </c>
      <c r="K115">
        <v>795</v>
      </c>
      <c r="L115">
        <v>16</v>
      </c>
      <c r="M115">
        <v>152</v>
      </c>
      <c r="N115">
        <v>182</v>
      </c>
      <c r="O115">
        <v>3151</v>
      </c>
      <c r="P115">
        <v>1.58</v>
      </c>
      <c r="Q115">
        <v>838</v>
      </c>
      <c r="R115">
        <v>6.7</v>
      </c>
      <c r="S115">
        <v>10</v>
      </c>
      <c r="T115">
        <v>1</v>
      </c>
      <c r="U115">
        <v>1</v>
      </c>
      <c r="V115">
        <v>537</v>
      </c>
      <c r="W115">
        <v>360</v>
      </c>
      <c r="X115">
        <v>83.15</v>
      </c>
      <c r="Y115">
        <v>1551</v>
      </c>
      <c r="Z115">
        <v>511</v>
      </c>
      <c r="AA115">
        <v>2</v>
      </c>
      <c r="AB115">
        <v>420</v>
      </c>
      <c r="AC115">
        <v>18.2</v>
      </c>
      <c r="AD115">
        <v>22</v>
      </c>
      <c r="AE115">
        <v>101</v>
      </c>
      <c r="AF115">
        <v>81</v>
      </c>
      <c r="AG115">
        <v>30.7</v>
      </c>
      <c r="AH115">
        <v>52</v>
      </c>
      <c r="AI115">
        <v>4</v>
      </c>
      <c r="AJ115">
        <v>4</v>
      </c>
      <c r="AK115">
        <v>28</v>
      </c>
      <c r="AL115">
        <v>15</v>
      </c>
      <c r="AM115">
        <v>1</v>
      </c>
      <c r="AN115" t="s">
        <v>614</v>
      </c>
      <c r="AO115" t="s">
        <v>614</v>
      </c>
    </row>
    <row r="116" spans="1:41" x14ac:dyDescent="0.25">
      <c r="A116" t="s">
        <v>916</v>
      </c>
      <c r="B116" t="s">
        <v>170</v>
      </c>
      <c r="C116" t="s">
        <v>917</v>
      </c>
      <c r="D116">
        <f>ROUND(
  (
    --SUBSTITUTE(LEFT(C116,19),"T"," ")
    - DATE(1970,1,1)
  ) * 86400000,
  0
)</f>
        <v>1681837070000</v>
      </c>
      <c r="E116" t="str">
        <f>LEFT(D116,10) &amp; "." &amp; RIGHT(D116,3)</f>
        <v>1681837070.000</v>
      </c>
      <c r="F116" s="3">
        <f>(((E116/60)/60)/24)+DATE(1970,1,1)</f>
        <v>45034.706828703704</v>
      </c>
      <c r="G116" t="str">
        <f>_xlfn.XLOOKUP(
  WorkoutData[[#This Row],[gmailMessageId]],
  WorkoutData_old[gmailMessageId],
  WorkoutData_old[WorkoutType]
)</f>
        <v>2G</v>
      </c>
      <c r="H116" s="4">
        <v>0.5</v>
      </c>
      <c r="I116" t="s">
        <v>431</v>
      </c>
      <c r="J116" t="s">
        <v>918</v>
      </c>
      <c r="K116">
        <v>903</v>
      </c>
      <c r="L116">
        <v>28</v>
      </c>
      <c r="M116">
        <v>161</v>
      </c>
      <c r="N116">
        <v>186</v>
      </c>
      <c r="O116">
        <v>4513</v>
      </c>
      <c r="P116">
        <v>3.03</v>
      </c>
      <c r="Q116">
        <v>1567</v>
      </c>
      <c r="R116">
        <v>7</v>
      </c>
      <c r="S116">
        <v>11</v>
      </c>
      <c r="T116">
        <v>1.9</v>
      </c>
      <c r="U116">
        <v>5</v>
      </c>
      <c r="V116">
        <v>517</v>
      </c>
      <c r="W116">
        <v>327</v>
      </c>
      <c r="X116">
        <v>299.86</v>
      </c>
      <c r="Y116">
        <v>985</v>
      </c>
      <c r="Z116">
        <v>450</v>
      </c>
      <c r="AA116">
        <v>8</v>
      </c>
      <c r="AB116">
        <v>491</v>
      </c>
      <c r="AC116">
        <v>19.399999999999999</v>
      </c>
      <c r="AD116">
        <v>22.6</v>
      </c>
      <c r="AE116">
        <v>93</v>
      </c>
      <c r="AF116">
        <v>79</v>
      </c>
      <c r="AG116">
        <v>31.5</v>
      </c>
      <c r="AH116">
        <v>55</v>
      </c>
      <c r="AI116">
        <v>1</v>
      </c>
      <c r="AJ116">
        <v>3</v>
      </c>
      <c r="AK116">
        <v>23</v>
      </c>
      <c r="AL116">
        <v>25</v>
      </c>
      <c r="AM116">
        <v>3</v>
      </c>
      <c r="AN116" t="s">
        <v>919</v>
      </c>
      <c r="AO116" t="s">
        <v>919</v>
      </c>
    </row>
    <row r="117" spans="1:41" x14ac:dyDescent="0.25">
      <c r="A117" t="s">
        <v>1020</v>
      </c>
      <c r="B117" t="s">
        <v>168</v>
      </c>
      <c r="C117" t="s">
        <v>1021</v>
      </c>
      <c r="D117">
        <f>ROUND(
  (
    --SUBSTITUTE(LEFT(C117,19),"T"," ")
    - DATE(1970,1,1)
  ) * 86400000,
  0
)</f>
        <v>1682009906000</v>
      </c>
      <c r="E117" t="str">
        <f>LEFT(D117,10) &amp; "." &amp; RIGHT(D117,3)</f>
        <v>1682009906.000</v>
      </c>
      <c r="F117" s="3">
        <f>(((E117/60)/60)/24)+DATE(1970,1,1)</f>
        <v>45036.707245370373</v>
      </c>
      <c r="G117" t="str">
        <f>_xlfn.XLOOKUP(
  WorkoutData[[#This Row],[gmailMessageId]],
  WorkoutData_old[gmailMessageId],
  WorkoutData_old[WorkoutType]
)</f>
        <v>2G</v>
      </c>
      <c r="H117" s="4">
        <v>0.5</v>
      </c>
      <c r="I117" t="s">
        <v>550</v>
      </c>
      <c r="J117" t="s">
        <v>972</v>
      </c>
      <c r="K117">
        <v>954</v>
      </c>
      <c r="L117">
        <v>36</v>
      </c>
      <c r="M117">
        <v>162</v>
      </c>
      <c r="N117">
        <v>181</v>
      </c>
      <c r="O117">
        <v>4076</v>
      </c>
      <c r="P117">
        <v>2.34</v>
      </c>
      <c r="Q117">
        <v>1390</v>
      </c>
      <c r="R117">
        <v>5.8</v>
      </c>
      <c r="S117">
        <v>12</v>
      </c>
      <c r="T117">
        <v>1.1000000000000001</v>
      </c>
      <c r="U117">
        <v>44.5</v>
      </c>
      <c r="V117">
        <v>616</v>
      </c>
      <c r="W117">
        <v>300</v>
      </c>
      <c r="X117">
        <v>132.38</v>
      </c>
      <c r="Y117">
        <v>1243</v>
      </c>
      <c r="Z117">
        <v>769</v>
      </c>
      <c r="AA117">
        <v>4</v>
      </c>
      <c r="AB117">
        <v>358</v>
      </c>
      <c r="AC117">
        <v>17.899999999999999</v>
      </c>
      <c r="AD117">
        <v>19.8</v>
      </c>
      <c r="AE117">
        <v>101</v>
      </c>
      <c r="AF117">
        <v>90</v>
      </c>
      <c r="AG117">
        <v>29</v>
      </c>
      <c r="AH117">
        <v>59</v>
      </c>
      <c r="AI117">
        <v>2</v>
      </c>
      <c r="AJ117">
        <v>3</v>
      </c>
      <c r="AK117">
        <v>18</v>
      </c>
      <c r="AL117">
        <v>33</v>
      </c>
      <c r="AM117">
        <v>3</v>
      </c>
      <c r="AN117" t="s">
        <v>1022</v>
      </c>
      <c r="AO117" t="s">
        <v>1022</v>
      </c>
    </row>
    <row r="118" spans="1:41" x14ac:dyDescent="0.25">
      <c r="A118" t="s">
        <v>801</v>
      </c>
      <c r="B118" t="s">
        <v>166</v>
      </c>
      <c r="C118" t="s">
        <v>802</v>
      </c>
      <c r="D118">
        <f>ROUND(
  (
    --SUBSTITUTE(LEFT(C118,19),"T"," ")
    - DATE(1970,1,1)
  ) * 86400000,
  0
)</f>
        <v>1682457766000</v>
      </c>
      <c r="E118" t="str">
        <f>LEFT(D118,10) &amp; "." &amp; RIGHT(D118,3)</f>
        <v>1682457766.000</v>
      </c>
      <c r="F118" s="3">
        <f>(((E118/60)/60)/24)+DATE(1970,1,1)</f>
        <v>45041.890810185185</v>
      </c>
      <c r="G118" t="str">
        <f>_xlfn.XLOOKUP(
  WorkoutData[[#This Row],[gmailMessageId]],
  WorkoutData_old[gmailMessageId],
  WorkoutData_old[WorkoutType]
)</f>
        <v>2G</v>
      </c>
      <c r="H118" s="4">
        <v>0.68055555555555558</v>
      </c>
      <c r="I118" t="s">
        <v>433</v>
      </c>
      <c r="J118" t="s">
        <v>762</v>
      </c>
      <c r="K118">
        <v>864</v>
      </c>
      <c r="L118">
        <v>24</v>
      </c>
      <c r="M118">
        <v>155</v>
      </c>
      <c r="N118">
        <v>185</v>
      </c>
      <c r="O118">
        <v>4014</v>
      </c>
      <c r="P118">
        <v>2.76</v>
      </c>
      <c r="Q118">
        <v>1498</v>
      </c>
      <c r="R118">
        <v>6.7</v>
      </c>
      <c r="S118">
        <v>12</v>
      </c>
      <c r="T118">
        <v>1.4</v>
      </c>
      <c r="U118">
        <v>3</v>
      </c>
      <c r="V118">
        <v>538</v>
      </c>
      <c r="W118">
        <v>300</v>
      </c>
      <c r="X118">
        <v>208.62</v>
      </c>
      <c r="Y118">
        <v>1145</v>
      </c>
      <c r="Z118">
        <v>701</v>
      </c>
      <c r="AA118">
        <v>4</v>
      </c>
      <c r="AB118">
        <v>477</v>
      </c>
      <c r="AC118">
        <v>18.5</v>
      </c>
      <c r="AD118">
        <v>22.2</v>
      </c>
      <c r="AE118">
        <v>103</v>
      </c>
      <c r="AF118">
        <v>81</v>
      </c>
      <c r="AG118">
        <v>29.1</v>
      </c>
      <c r="AH118">
        <v>54</v>
      </c>
      <c r="AI118">
        <v>3</v>
      </c>
      <c r="AJ118">
        <v>5</v>
      </c>
      <c r="AK118">
        <v>22</v>
      </c>
      <c r="AL118">
        <v>23</v>
      </c>
      <c r="AM118">
        <v>1</v>
      </c>
      <c r="AN118" t="s">
        <v>803</v>
      </c>
      <c r="AO118" t="s">
        <v>803</v>
      </c>
    </row>
    <row r="119" spans="1:41" x14ac:dyDescent="0.25">
      <c r="A119" t="s">
        <v>747</v>
      </c>
      <c r="B119" t="s">
        <v>164</v>
      </c>
      <c r="C119" t="s">
        <v>748</v>
      </c>
      <c r="D119">
        <f>ROUND(
  (
    --SUBSTITUTE(LEFT(C119,19),"T"," ")
    - DATE(1970,1,1)
  ) * 86400000,
  0
)</f>
        <v>1682959391000</v>
      </c>
      <c r="E119" t="str">
        <f>LEFT(D119,10) &amp; "." &amp; RIGHT(D119,3)</f>
        <v>1682959391.000</v>
      </c>
      <c r="F119" s="3">
        <f>(((E119/60)/60)/24)+DATE(1970,1,1)</f>
        <v>45047.696655092594</v>
      </c>
      <c r="G119" t="str">
        <f>_xlfn.XLOOKUP(
  WorkoutData[[#This Row],[gmailMessageId]],
  WorkoutData_old[gmailMessageId],
  WorkoutData_old[WorkoutType]
)</f>
        <v>2G</v>
      </c>
      <c r="H119" s="4">
        <v>0.48958333333333331</v>
      </c>
      <c r="I119" t="s">
        <v>433</v>
      </c>
      <c r="J119" t="s">
        <v>472</v>
      </c>
      <c r="K119">
        <v>850</v>
      </c>
      <c r="L119">
        <v>36</v>
      </c>
      <c r="M119">
        <v>167</v>
      </c>
      <c r="N119">
        <v>186</v>
      </c>
      <c r="O119">
        <v>4629</v>
      </c>
      <c r="P119">
        <v>3.1</v>
      </c>
      <c r="Q119">
        <v>1678</v>
      </c>
      <c r="R119">
        <v>6.7</v>
      </c>
      <c r="S119">
        <v>10</v>
      </c>
      <c r="T119">
        <v>2.2999999999999998</v>
      </c>
      <c r="U119">
        <v>5</v>
      </c>
      <c r="V119">
        <v>541</v>
      </c>
      <c r="W119">
        <v>360</v>
      </c>
      <c r="X119">
        <v>376.87</v>
      </c>
      <c r="Y119">
        <v>647</v>
      </c>
      <c r="Z119">
        <v>668</v>
      </c>
      <c r="AA119">
        <v>7</v>
      </c>
      <c r="AB119">
        <v>288</v>
      </c>
      <c r="AC119">
        <v>17.100000000000001</v>
      </c>
      <c r="AD119">
        <v>18.399999999999999</v>
      </c>
      <c r="AE119">
        <v>105</v>
      </c>
      <c r="AF119">
        <v>97</v>
      </c>
      <c r="AG119">
        <v>28.4</v>
      </c>
      <c r="AH119">
        <v>49</v>
      </c>
      <c r="AI119">
        <v>1</v>
      </c>
      <c r="AJ119">
        <v>2</v>
      </c>
      <c r="AK119">
        <v>10</v>
      </c>
      <c r="AL119">
        <v>24</v>
      </c>
      <c r="AM119">
        <v>12</v>
      </c>
      <c r="AN119" t="s">
        <v>749</v>
      </c>
      <c r="AO119" t="s">
        <v>749</v>
      </c>
    </row>
    <row r="120" spans="1:41" x14ac:dyDescent="0.25">
      <c r="A120" t="s">
        <v>957</v>
      </c>
      <c r="B120" t="s">
        <v>162</v>
      </c>
      <c r="C120" t="s">
        <v>958</v>
      </c>
      <c r="D120">
        <f>ROUND(
  (
    --SUBSTITUTE(LEFT(C120,19),"T"," ")
    - DATE(1970,1,1)
  ) * 86400000,
  0
)</f>
        <v>1684342865000</v>
      </c>
      <c r="E120" t="str">
        <f>LEFT(D120,10) &amp; "." &amp; RIGHT(D120,3)</f>
        <v>1684342865.000</v>
      </c>
      <c r="F120" s="3">
        <f>(((E120/60)/60)/24)+DATE(1970,1,1)</f>
        <v>45063.709085648152</v>
      </c>
      <c r="G120" t="str">
        <f>_xlfn.XLOOKUP(
  WorkoutData[[#This Row],[gmailMessageId]],
  WorkoutData_old[gmailMessageId],
  WorkoutData_old[WorkoutType]
)</f>
        <v>2G</v>
      </c>
      <c r="H120" s="4">
        <v>0.5</v>
      </c>
      <c r="I120" t="s">
        <v>550</v>
      </c>
      <c r="J120" t="s">
        <v>959</v>
      </c>
      <c r="K120">
        <v>928</v>
      </c>
      <c r="L120">
        <v>17</v>
      </c>
      <c r="M120">
        <v>154</v>
      </c>
      <c r="N120">
        <v>197</v>
      </c>
      <c r="O120">
        <v>4621</v>
      </c>
      <c r="P120">
        <v>2.63</v>
      </c>
      <c r="Q120">
        <v>1562</v>
      </c>
      <c r="R120">
        <v>6.1</v>
      </c>
      <c r="S120">
        <v>11</v>
      </c>
      <c r="T120">
        <v>0.9</v>
      </c>
      <c r="U120">
        <v>1</v>
      </c>
      <c r="V120">
        <v>594</v>
      </c>
      <c r="W120">
        <v>327</v>
      </c>
      <c r="X120">
        <v>121.83</v>
      </c>
      <c r="AH120">
        <v>60</v>
      </c>
      <c r="AI120">
        <v>3</v>
      </c>
      <c r="AJ120">
        <v>8</v>
      </c>
      <c r="AK120">
        <v>32</v>
      </c>
      <c r="AL120">
        <v>11</v>
      </c>
      <c r="AM120">
        <v>6</v>
      </c>
      <c r="AN120" t="s">
        <v>960</v>
      </c>
      <c r="AO120" t="s">
        <v>960</v>
      </c>
    </row>
    <row r="121" spans="1:41" x14ac:dyDescent="0.25">
      <c r="A121" t="s">
        <v>532</v>
      </c>
      <c r="B121" t="s">
        <v>160</v>
      </c>
      <c r="C121" t="s">
        <v>533</v>
      </c>
      <c r="D121">
        <f>ROUND(
  (
    --SUBSTITUTE(LEFT(C121,19),"T"," ")
    - DATE(1970,1,1)
  ) * 86400000,
  0
)</f>
        <v>1686156214000</v>
      </c>
      <c r="E121" t="str">
        <f>LEFT(D121,10) &amp; "." &amp; RIGHT(D121,3)</f>
        <v>1686156214.000</v>
      </c>
      <c r="F121" s="3">
        <f>(((E121/60)/60)/24)+DATE(1970,1,1)</f>
        <v>45084.696921296301</v>
      </c>
      <c r="G121" t="str">
        <f>_xlfn.XLOOKUP(
  WorkoutData[[#This Row],[gmailMessageId]],
  WorkoutData_old[gmailMessageId],
  WorkoutData_old[WorkoutType]
)</f>
        <v>2G</v>
      </c>
      <c r="H121" s="4">
        <v>0.48958333333333331</v>
      </c>
      <c r="I121" t="s">
        <v>433</v>
      </c>
      <c r="J121" t="s">
        <v>461</v>
      </c>
      <c r="K121">
        <v>756</v>
      </c>
      <c r="L121">
        <v>25</v>
      </c>
      <c r="M121">
        <v>141</v>
      </c>
      <c r="N121">
        <v>185</v>
      </c>
      <c r="O121">
        <v>4565</v>
      </c>
      <c r="P121">
        <v>3.03</v>
      </c>
      <c r="Q121">
        <v>1574</v>
      </c>
      <c r="R121">
        <v>6.9</v>
      </c>
      <c r="S121">
        <v>10</v>
      </c>
      <c r="T121">
        <v>1.4</v>
      </c>
      <c r="U121">
        <v>3</v>
      </c>
      <c r="V121">
        <v>522</v>
      </c>
      <c r="W121">
        <v>360</v>
      </c>
      <c r="X121">
        <v>219.83</v>
      </c>
      <c r="Y121">
        <v>1254</v>
      </c>
      <c r="Z121">
        <v>744</v>
      </c>
      <c r="AA121">
        <v>4</v>
      </c>
      <c r="AB121">
        <v>321</v>
      </c>
      <c r="AC121">
        <v>17</v>
      </c>
      <c r="AD121">
        <v>20.7</v>
      </c>
      <c r="AE121">
        <v>111</v>
      </c>
      <c r="AF121">
        <v>86</v>
      </c>
      <c r="AG121">
        <v>27.8</v>
      </c>
      <c r="AH121">
        <v>56</v>
      </c>
      <c r="AI121">
        <v>18</v>
      </c>
      <c r="AJ121">
        <v>2</v>
      </c>
      <c r="AK121">
        <v>11</v>
      </c>
      <c r="AL121">
        <v>20</v>
      </c>
      <c r="AM121">
        <v>5</v>
      </c>
      <c r="AN121" t="s">
        <v>534</v>
      </c>
      <c r="AO121" t="s">
        <v>534</v>
      </c>
    </row>
    <row r="122" spans="1:41" x14ac:dyDescent="0.25">
      <c r="A122" t="s">
        <v>1038</v>
      </c>
      <c r="B122" t="s">
        <v>158</v>
      </c>
      <c r="C122" t="s">
        <v>1039</v>
      </c>
      <c r="D122">
        <f>ROUND(
  (
    --SUBSTITUTE(LEFT(C122,19),"T"," ")
    - DATE(1970,1,1)
  ) * 86400000,
  0
)</f>
        <v>1686674586000</v>
      </c>
      <c r="E122" t="str">
        <f>LEFT(D122,10) &amp; "." &amp; RIGHT(D122,3)</f>
        <v>1686674586.000</v>
      </c>
      <c r="F122" s="3">
        <f>(((E122/60)/60)/24)+DATE(1970,1,1)</f>
        <v>45090.696597222224</v>
      </c>
      <c r="G122" t="str">
        <f>_xlfn.XLOOKUP(
  WorkoutData[[#This Row],[gmailMessageId]],
  WorkoutData_old[gmailMessageId],
  WorkoutData_old[WorkoutType]
)</f>
        <v>2G</v>
      </c>
      <c r="H122" s="4">
        <v>0.48958333333333331</v>
      </c>
      <c r="I122" t="s">
        <v>433</v>
      </c>
      <c r="J122" t="s">
        <v>546</v>
      </c>
      <c r="K122">
        <v>991</v>
      </c>
      <c r="L122">
        <v>34</v>
      </c>
      <c r="M122">
        <v>166</v>
      </c>
      <c r="N122">
        <v>191</v>
      </c>
      <c r="O122">
        <v>4751</v>
      </c>
      <c r="P122">
        <v>3.26</v>
      </c>
      <c r="Q122">
        <v>1748</v>
      </c>
      <c r="R122">
        <v>6.7</v>
      </c>
      <c r="S122">
        <v>11</v>
      </c>
      <c r="T122">
        <v>1.6</v>
      </c>
      <c r="U122">
        <v>6</v>
      </c>
      <c r="V122">
        <v>535</v>
      </c>
      <c r="W122">
        <v>327</v>
      </c>
      <c r="X122">
        <v>283.31</v>
      </c>
      <c r="Y122">
        <v>1064</v>
      </c>
      <c r="Z122">
        <v>527</v>
      </c>
      <c r="AA122">
        <v>330</v>
      </c>
      <c r="AB122">
        <v>504</v>
      </c>
      <c r="AC122">
        <v>19.899999999999999</v>
      </c>
      <c r="AD122">
        <v>23.5</v>
      </c>
      <c r="AE122">
        <v>91</v>
      </c>
      <c r="AF122">
        <v>76</v>
      </c>
      <c r="AG122">
        <v>30.6</v>
      </c>
      <c r="AH122">
        <v>57</v>
      </c>
      <c r="AI122">
        <v>1</v>
      </c>
      <c r="AJ122">
        <v>2</v>
      </c>
      <c r="AK122">
        <v>20</v>
      </c>
      <c r="AL122">
        <v>25</v>
      </c>
      <c r="AM122">
        <v>9</v>
      </c>
      <c r="AN122" t="s">
        <v>1040</v>
      </c>
      <c r="AO122" t="s">
        <v>1040</v>
      </c>
    </row>
    <row r="123" spans="1:41" x14ac:dyDescent="0.25">
      <c r="A123" t="s">
        <v>964</v>
      </c>
      <c r="B123" t="s">
        <v>156</v>
      </c>
      <c r="C123" t="s">
        <v>965</v>
      </c>
      <c r="D123">
        <f>ROUND(
  (
    --SUBSTITUTE(LEFT(C123,19),"T"," ")
    - DATE(1970,1,1)
  ) * 86400000,
  0
)</f>
        <v>1686848311000</v>
      </c>
      <c r="E123" t="str">
        <f>LEFT(D123,10) &amp; "." &amp; RIGHT(D123,3)</f>
        <v>1686848311.000</v>
      </c>
      <c r="F123" s="3">
        <f>(((E123/60)/60)/24)+DATE(1970,1,1)</f>
        <v>45092.707303240735</v>
      </c>
      <c r="G123" t="str">
        <f>_xlfn.XLOOKUP(
  WorkoutData[[#This Row],[gmailMessageId]],
  WorkoutData_old[gmailMessageId],
  WorkoutData_old[WorkoutType]
)</f>
        <v>2G</v>
      </c>
      <c r="H123" s="4">
        <v>0.5</v>
      </c>
      <c r="I123" t="s">
        <v>431</v>
      </c>
      <c r="J123" t="s">
        <v>509</v>
      </c>
      <c r="K123">
        <v>932</v>
      </c>
      <c r="L123">
        <v>27</v>
      </c>
      <c r="M123">
        <v>158</v>
      </c>
      <c r="N123">
        <v>185</v>
      </c>
      <c r="O123">
        <v>4549</v>
      </c>
      <c r="P123">
        <v>3.23</v>
      </c>
      <c r="Q123">
        <v>1690</v>
      </c>
      <c r="R123">
        <v>6.9</v>
      </c>
      <c r="S123">
        <v>11</v>
      </c>
      <c r="T123">
        <v>1</v>
      </c>
      <c r="U123">
        <v>1</v>
      </c>
      <c r="V123">
        <v>522</v>
      </c>
      <c r="W123">
        <v>327</v>
      </c>
      <c r="X123">
        <v>170.3</v>
      </c>
      <c r="Y123">
        <v>873</v>
      </c>
      <c r="Z123">
        <v>363</v>
      </c>
      <c r="AA123">
        <v>2</v>
      </c>
      <c r="AB123">
        <v>553</v>
      </c>
      <c r="AC123">
        <v>19.600000000000001</v>
      </c>
      <c r="AD123">
        <v>23.5</v>
      </c>
      <c r="AE123">
        <v>93</v>
      </c>
      <c r="AF123">
        <v>76</v>
      </c>
      <c r="AG123">
        <v>33.700000000000003</v>
      </c>
      <c r="AH123">
        <v>59</v>
      </c>
      <c r="AI123">
        <v>2</v>
      </c>
      <c r="AJ123">
        <v>5</v>
      </c>
      <c r="AK123">
        <v>25</v>
      </c>
      <c r="AL123">
        <v>25</v>
      </c>
      <c r="AM123">
        <v>2</v>
      </c>
      <c r="AN123" t="s">
        <v>966</v>
      </c>
      <c r="AO123" t="s">
        <v>966</v>
      </c>
    </row>
    <row r="124" spans="1:41" x14ac:dyDescent="0.25">
      <c r="A124" t="s">
        <v>756</v>
      </c>
      <c r="B124" t="s">
        <v>154</v>
      </c>
      <c r="C124" t="s">
        <v>757</v>
      </c>
      <c r="D124">
        <f>ROUND(
  (
    --SUBSTITUTE(LEFT(C124,19),"T"," ")
    - DATE(1970,1,1)
  ) * 86400000,
  0
)</f>
        <v>1687091394000</v>
      </c>
      <c r="E124" t="str">
        <f>LEFT(D124,10) &amp; "." &amp; RIGHT(D124,3)</f>
        <v>1687091394.000</v>
      </c>
      <c r="F124" s="3">
        <f>(((E124/60)/60)/24)+DATE(1970,1,1)</f>
        <v>45095.520763888882</v>
      </c>
      <c r="G124" t="str">
        <f>_xlfn.XLOOKUP(
  WorkoutData[[#This Row],[gmailMessageId]],
  WorkoutData_old[gmailMessageId],
  WorkoutData_old[WorkoutType]
)</f>
        <v>2G</v>
      </c>
      <c r="H124" s="4">
        <v>0.3125</v>
      </c>
      <c r="I124" t="s">
        <v>431</v>
      </c>
      <c r="J124" t="s">
        <v>758</v>
      </c>
      <c r="K124">
        <v>853</v>
      </c>
      <c r="L124">
        <v>9</v>
      </c>
      <c r="M124">
        <v>148</v>
      </c>
      <c r="N124">
        <v>181</v>
      </c>
      <c r="O124">
        <v>3246</v>
      </c>
      <c r="P124">
        <v>1.63</v>
      </c>
      <c r="Q124">
        <v>992</v>
      </c>
      <c r="R124">
        <v>5.9</v>
      </c>
      <c r="S124">
        <v>10</v>
      </c>
      <c r="T124">
        <v>3.3</v>
      </c>
      <c r="U124">
        <v>6</v>
      </c>
      <c r="V124">
        <v>607</v>
      </c>
      <c r="W124">
        <v>360</v>
      </c>
      <c r="X124">
        <v>283</v>
      </c>
      <c r="Y124">
        <v>396</v>
      </c>
      <c r="Z124">
        <v>176</v>
      </c>
      <c r="AA124">
        <v>8</v>
      </c>
      <c r="AB124">
        <v>312</v>
      </c>
      <c r="AC124">
        <v>17.899999999999999</v>
      </c>
      <c r="AD124">
        <v>19.3</v>
      </c>
      <c r="AE124">
        <v>101</v>
      </c>
      <c r="AF124">
        <v>93</v>
      </c>
      <c r="AG124">
        <v>28.2</v>
      </c>
      <c r="AH124">
        <v>59</v>
      </c>
      <c r="AI124">
        <v>4</v>
      </c>
      <c r="AJ124">
        <v>11</v>
      </c>
      <c r="AK124">
        <v>35</v>
      </c>
      <c r="AL124">
        <v>9</v>
      </c>
      <c r="AM124">
        <v>0</v>
      </c>
      <c r="AN124" t="s">
        <v>759</v>
      </c>
      <c r="AO124" t="s">
        <v>759</v>
      </c>
    </row>
    <row r="125" spans="1:41" x14ac:dyDescent="0.25">
      <c r="A125" t="s">
        <v>941</v>
      </c>
      <c r="B125" t="s">
        <v>152</v>
      </c>
      <c r="C125" t="s">
        <v>942</v>
      </c>
      <c r="D125">
        <f>ROUND(
  (
    --SUBSTITUTE(LEFT(C125,19),"T"," ")
    - DATE(1970,1,1)
  ) * 86400000,
  0
)</f>
        <v>1687797809000</v>
      </c>
      <c r="E125" t="str">
        <f>LEFT(D125,10) &amp; "." &amp; RIGHT(D125,3)</f>
        <v>1687797809.000</v>
      </c>
      <c r="F125" s="3">
        <f>(((E125/60)/60)/24)+DATE(1970,1,1)</f>
        <v>45103.696863425925</v>
      </c>
      <c r="G125" t="str">
        <f>_xlfn.XLOOKUP(
  WorkoutData[[#This Row],[gmailMessageId]],
  WorkoutData_old[gmailMessageId],
  WorkoutData_old[WorkoutType]
)</f>
        <v>2G</v>
      </c>
      <c r="H125" s="4">
        <v>0.48958333333333331</v>
      </c>
      <c r="I125" t="s">
        <v>433</v>
      </c>
      <c r="J125" t="s">
        <v>472</v>
      </c>
      <c r="K125">
        <v>917</v>
      </c>
      <c r="L125">
        <v>23</v>
      </c>
      <c r="M125">
        <v>160</v>
      </c>
      <c r="N125">
        <v>191</v>
      </c>
      <c r="O125">
        <v>3659</v>
      </c>
      <c r="P125">
        <v>2.98</v>
      </c>
      <c r="Q125">
        <v>1386</v>
      </c>
      <c r="R125">
        <v>7.7</v>
      </c>
      <c r="S125">
        <v>10</v>
      </c>
      <c r="T125">
        <v>1</v>
      </c>
      <c r="U125">
        <v>1</v>
      </c>
      <c r="V125">
        <v>465</v>
      </c>
      <c r="W125">
        <v>360</v>
      </c>
      <c r="X125">
        <v>156.19</v>
      </c>
      <c r="Y125">
        <v>355</v>
      </c>
      <c r="Z125">
        <v>235</v>
      </c>
      <c r="AA125">
        <v>7</v>
      </c>
      <c r="AB125">
        <v>315</v>
      </c>
      <c r="AC125">
        <v>17.3</v>
      </c>
      <c r="AD125">
        <v>18.399999999999999</v>
      </c>
      <c r="AE125">
        <v>104</v>
      </c>
      <c r="AF125">
        <v>97</v>
      </c>
      <c r="AG125">
        <v>27.5</v>
      </c>
      <c r="AH125">
        <v>56</v>
      </c>
      <c r="AI125">
        <v>2</v>
      </c>
      <c r="AJ125">
        <v>9</v>
      </c>
      <c r="AK125">
        <v>22</v>
      </c>
      <c r="AL125">
        <v>3</v>
      </c>
      <c r="AM125">
        <v>20</v>
      </c>
      <c r="AN125" t="s">
        <v>943</v>
      </c>
      <c r="AO125" t="s">
        <v>943</v>
      </c>
    </row>
    <row r="126" spans="1:41" x14ac:dyDescent="0.25">
      <c r="A126" t="s">
        <v>624</v>
      </c>
      <c r="B126" t="s">
        <v>150</v>
      </c>
      <c r="C126" t="s">
        <v>625</v>
      </c>
      <c r="D126">
        <f>ROUND(
  (
    --SUBSTITUTE(LEFT(C126,19),"T"," ")
    - DATE(1970,1,1)
  ) * 86400000,
  0
)</f>
        <v>1688986688000</v>
      </c>
      <c r="E126" t="str">
        <f>LEFT(D126,10) &amp; "." &amp; RIGHT(D126,3)</f>
        <v>1688986688.000</v>
      </c>
      <c r="F126" s="3">
        <f>(((E126/60)/60)/24)+DATE(1970,1,1)</f>
        <v>45117.457037037035</v>
      </c>
      <c r="G126" t="str">
        <f>_xlfn.XLOOKUP(
  WorkoutData[[#This Row],[gmailMessageId]],
  WorkoutData_old[gmailMessageId],
  WorkoutData_old[WorkoutType]
)</f>
        <v>3G</v>
      </c>
      <c r="H126" s="4">
        <v>0.25</v>
      </c>
      <c r="I126" t="s">
        <v>433</v>
      </c>
      <c r="J126" t="s">
        <v>461</v>
      </c>
      <c r="K126">
        <v>800</v>
      </c>
      <c r="L126">
        <v>16</v>
      </c>
      <c r="M126">
        <v>154</v>
      </c>
      <c r="N126">
        <v>183</v>
      </c>
      <c r="O126">
        <v>4094</v>
      </c>
      <c r="P126">
        <v>2.23</v>
      </c>
      <c r="Q126">
        <v>1207</v>
      </c>
      <c r="R126">
        <v>6.6</v>
      </c>
      <c r="S126">
        <v>9</v>
      </c>
      <c r="T126">
        <v>1.7</v>
      </c>
      <c r="U126">
        <v>5</v>
      </c>
      <c r="V126">
        <v>541</v>
      </c>
      <c r="W126">
        <v>400</v>
      </c>
      <c r="X126">
        <v>194.89</v>
      </c>
      <c r="Y126">
        <v>1164</v>
      </c>
      <c r="Z126">
        <v>632</v>
      </c>
      <c r="AA126">
        <v>6</v>
      </c>
      <c r="AB126">
        <v>346</v>
      </c>
      <c r="AC126">
        <v>16.399999999999999</v>
      </c>
      <c r="AD126">
        <v>19.8</v>
      </c>
      <c r="AE126">
        <v>111</v>
      </c>
      <c r="AF126">
        <v>91</v>
      </c>
      <c r="AG126">
        <v>29.5</v>
      </c>
      <c r="AH126">
        <v>53</v>
      </c>
      <c r="AI126">
        <v>1</v>
      </c>
      <c r="AJ126">
        <v>8</v>
      </c>
      <c r="AK126">
        <v>28</v>
      </c>
      <c r="AL126">
        <v>15</v>
      </c>
      <c r="AM126">
        <v>1</v>
      </c>
      <c r="AN126" t="s">
        <v>626</v>
      </c>
      <c r="AO126" t="s">
        <v>626</v>
      </c>
    </row>
    <row r="127" spans="1:41" x14ac:dyDescent="0.25">
      <c r="A127" t="s">
        <v>926</v>
      </c>
      <c r="B127" t="s">
        <v>148</v>
      </c>
      <c r="C127" t="s">
        <v>927</v>
      </c>
      <c r="D127">
        <f>ROUND(
  (
    --SUBSTITUTE(LEFT(C127,19),"T"," ")
    - DATE(1970,1,1)
  ) * 86400000,
  0
)</f>
        <v>1689801169000</v>
      </c>
      <c r="E127" t="str">
        <f>LEFT(D127,10) &amp; "." &amp; RIGHT(D127,3)</f>
        <v>1689801169.000</v>
      </c>
      <c r="F127" s="3">
        <f>(((E127/60)/60)/24)+DATE(1970,1,1)</f>
        <v>45126.883900462963</v>
      </c>
      <c r="G127" t="str">
        <f>_xlfn.XLOOKUP(
  WorkoutData[[#This Row],[gmailMessageId]],
  WorkoutData_old[gmailMessageId],
  WorkoutData_old[WorkoutType]
)</f>
        <v>2G</v>
      </c>
      <c r="H127" s="4">
        <v>0.67708333333333337</v>
      </c>
      <c r="I127" t="s">
        <v>431</v>
      </c>
      <c r="J127" t="s">
        <v>509</v>
      </c>
      <c r="K127">
        <v>909</v>
      </c>
      <c r="L127">
        <v>27</v>
      </c>
      <c r="M127">
        <v>160</v>
      </c>
      <c r="N127">
        <v>190</v>
      </c>
      <c r="O127">
        <v>3291</v>
      </c>
      <c r="P127">
        <v>2.0099999999999998</v>
      </c>
      <c r="Q127">
        <v>974</v>
      </c>
      <c r="R127">
        <v>7.4</v>
      </c>
      <c r="S127">
        <v>10</v>
      </c>
      <c r="T127">
        <v>1</v>
      </c>
      <c r="U127">
        <v>1</v>
      </c>
      <c r="V127">
        <v>486</v>
      </c>
      <c r="W127">
        <v>360</v>
      </c>
      <c r="X127">
        <v>105.57</v>
      </c>
      <c r="Y127">
        <v>2090</v>
      </c>
      <c r="Z127">
        <v>597</v>
      </c>
      <c r="AA127">
        <v>3</v>
      </c>
      <c r="AB127">
        <v>474</v>
      </c>
      <c r="AC127">
        <v>17.399999999999999</v>
      </c>
      <c r="AD127">
        <v>22.9</v>
      </c>
      <c r="AE127">
        <v>106</v>
      </c>
      <c r="AF127">
        <v>78</v>
      </c>
      <c r="AG127">
        <v>29.5</v>
      </c>
      <c r="AH127">
        <v>57</v>
      </c>
      <c r="AI127">
        <v>3</v>
      </c>
      <c r="AJ127">
        <v>6</v>
      </c>
      <c r="AK127">
        <v>21</v>
      </c>
      <c r="AL127">
        <v>19</v>
      </c>
      <c r="AM127">
        <v>8</v>
      </c>
      <c r="AN127" t="s">
        <v>928</v>
      </c>
      <c r="AO127" t="s">
        <v>928</v>
      </c>
    </row>
    <row r="128" spans="1:41" x14ac:dyDescent="0.25">
      <c r="A128" t="s">
        <v>860</v>
      </c>
      <c r="B128" t="s">
        <v>146</v>
      </c>
      <c r="C128" t="s">
        <v>861</v>
      </c>
      <c r="D128">
        <f>ROUND(
  (
    --SUBSTITUTE(LEFT(C128,19),"T"," ")
    - DATE(1970,1,1)
  ) * 86400000,
  0
)</f>
        <v>1691147603000</v>
      </c>
      <c r="E128" t="str">
        <f>LEFT(D128,10) &amp; "." &amp; RIGHT(D128,3)</f>
        <v>1691147603.000</v>
      </c>
      <c r="F128" s="3">
        <f>(((E128/60)/60)/24)+DATE(1970,1,1)</f>
        <v>45142.467627314814</v>
      </c>
      <c r="G128" t="str">
        <f>_xlfn.XLOOKUP(
  WorkoutData[[#This Row],[gmailMessageId]],
  WorkoutData_old[gmailMessageId],
  WorkoutData_old[WorkoutType]
)</f>
        <v>2G</v>
      </c>
      <c r="H128" s="4">
        <v>0.26041666666666669</v>
      </c>
      <c r="I128" t="s">
        <v>431</v>
      </c>
      <c r="J128" t="s">
        <v>758</v>
      </c>
      <c r="K128">
        <v>882</v>
      </c>
      <c r="L128">
        <v>22</v>
      </c>
      <c r="M128">
        <v>154</v>
      </c>
      <c r="N128">
        <v>186</v>
      </c>
      <c r="O128">
        <v>4252</v>
      </c>
      <c r="AH128">
        <v>58</v>
      </c>
      <c r="AI128">
        <v>2</v>
      </c>
      <c r="AJ128">
        <v>10</v>
      </c>
      <c r="AK128">
        <v>24</v>
      </c>
      <c r="AL128">
        <v>18</v>
      </c>
      <c r="AM128">
        <v>4</v>
      </c>
      <c r="AN128" t="s">
        <v>862</v>
      </c>
      <c r="AO128" t="s">
        <v>862</v>
      </c>
    </row>
    <row r="129" spans="1:41" x14ac:dyDescent="0.25">
      <c r="A129" t="s">
        <v>875</v>
      </c>
      <c r="B129" t="s">
        <v>144</v>
      </c>
      <c r="C129" t="s">
        <v>876</v>
      </c>
      <c r="D129">
        <f>ROUND(
  (
    --SUBSTITUTE(LEFT(C129,19),"T"," ")
    - DATE(1970,1,1)
  ) * 86400000,
  0
)</f>
        <v>1692446274000</v>
      </c>
      <c r="E129" t="str">
        <f>LEFT(D129,10) &amp; "." &amp; RIGHT(D129,3)</f>
        <v>1692446274.000</v>
      </c>
      <c r="F129" s="3">
        <f>(((E129/60)/60)/24)+DATE(1970,1,1)</f>
        <v>45157.49854166666</v>
      </c>
      <c r="G129" t="str">
        <f>_xlfn.XLOOKUP(
  WorkoutData[[#This Row],[gmailMessageId]],
  WorkoutData_old[gmailMessageId],
  WorkoutData_old[WorkoutType]
)</f>
        <v>2G</v>
      </c>
      <c r="H129" s="4">
        <v>0.29166666666666669</v>
      </c>
      <c r="I129" t="s">
        <v>431</v>
      </c>
      <c r="J129" t="s">
        <v>509</v>
      </c>
      <c r="K129">
        <v>887</v>
      </c>
      <c r="L129">
        <v>22</v>
      </c>
      <c r="M129">
        <v>158</v>
      </c>
      <c r="N129">
        <v>202</v>
      </c>
      <c r="O129">
        <v>4252</v>
      </c>
      <c r="P129">
        <v>2.5499999999999998</v>
      </c>
      <c r="Q129">
        <v>1517</v>
      </c>
      <c r="R129">
        <v>6.1</v>
      </c>
      <c r="S129">
        <v>12</v>
      </c>
      <c r="T129">
        <v>1.2</v>
      </c>
      <c r="U129">
        <v>4</v>
      </c>
      <c r="V129">
        <v>594</v>
      </c>
      <c r="W129">
        <v>300</v>
      </c>
      <c r="X129">
        <v>164.39</v>
      </c>
      <c r="Y129">
        <v>1337</v>
      </c>
      <c r="Z129">
        <v>381</v>
      </c>
      <c r="AA129">
        <v>2</v>
      </c>
      <c r="AB129">
        <v>412</v>
      </c>
      <c r="AC129">
        <v>17.7</v>
      </c>
      <c r="AD129">
        <v>21</v>
      </c>
      <c r="AE129">
        <v>102</v>
      </c>
      <c r="AF129">
        <v>85</v>
      </c>
      <c r="AG129">
        <v>25.8</v>
      </c>
      <c r="AH129">
        <v>54</v>
      </c>
      <c r="AI129">
        <v>2</v>
      </c>
      <c r="AJ129">
        <v>6</v>
      </c>
      <c r="AK129">
        <v>24</v>
      </c>
      <c r="AL129">
        <v>16</v>
      </c>
      <c r="AM129">
        <v>6</v>
      </c>
      <c r="AN129" t="s">
        <v>877</v>
      </c>
      <c r="AO129" t="s">
        <v>877</v>
      </c>
    </row>
    <row r="130" spans="1:41" x14ac:dyDescent="0.25">
      <c r="A130" t="s">
        <v>777</v>
      </c>
      <c r="B130" t="s">
        <v>142</v>
      </c>
      <c r="C130" t="s">
        <v>778</v>
      </c>
      <c r="D130">
        <f>ROUND(
  (
    --SUBSTITUTE(LEFT(C130,19),"T"," ")
    - DATE(1970,1,1)
  ) * 86400000,
  0
)</f>
        <v>1692612174000</v>
      </c>
      <c r="E130" t="str">
        <f>LEFT(D130,10) &amp; "." &amp; RIGHT(D130,3)</f>
        <v>1692612174.000</v>
      </c>
      <c r="F130" s="3">
        <f>(((E130/60)/60)/24)+DATE(1970,1,1)</f>
        <v>45159.418680555551</v>
      </c>
      <c r="G130" t="str">
        <f>_xlfn.XLOOKUP(
  WorkoutData[[#This Row],[gmailMessageId]],
  WorkoutData_old[gmailMessageId],
  WorkoutData_old[WorkoutType]
)</f>
        <v>2G</v>
      </c>
      <c r="H130" s="4">
        <v>0.20833333333333334</v>
      </c>
      <c r="I130" t="s">
        <v>431</v>
      </c>
      <c r="J130" t="s">
        <v>591</v>
      </c>
      <c r="K130">
        <v>857</v>
      </c>
      <c r="L130">
        <v>22</v>
      </c>
      <c r="M130">
        <v>149</v>
      </c>
      <c r="N130">
        <v>183</v>
      </c>
      <c r="O130">
        <v>4973</v>
      </c>
      <c r="AH130">
        <v>59</v>
      </c>
      <c r="AI130">
        <v>5</v>
      </c>
      <c r="AJ130">
        <v>19</v>
      </c>
      <c r="AK130">
        <v>13</v>
      </c>
      <c r="AL130">
        <v>17</v>
      </c>
      <c r="AM130">
        <v>5</v>
      </c>
      <c r="AN130" t="s">
        <v>779</v>
      </c>
      <c r="AO130" t="s">
        <v>779</v>
      </c>
    </row>
    <row r="131" spans="1:41" x14ac:dyDescent="0.25">
      <c r="A131" t="s">
        <v>935</v>
      </c>
      <c r="B131" t="s">
        <v>140</v>
      </c>
      <c r="C131" t="s">
        <v>936</v>
      </c>
      <c r="D131">
        <f>ROUND(
  (
    --SUBSTITUTE(LEFT(C131,19),"T"," ")
    - DATE(1970,1,1)
  ) * 86400000,
  0
)</f>
        <v>1694429890000</v>
      </c>
      <c r="E131" t="str">
        <f>LEFT(D131,10) &amp; "." &amp; RIGHT(D131,3)</f>
        <v>1694429890.000</v>
      </c>
      <c r="F131" s="3">
        <f>(((E131/60)/60)/24)+DATE(1970,1,1)</f>
        <v>45180.457060185188</v>
      </c>
      <c r="G131" t="str">
        <f>_xlfn.XLOOKUP(
  WorkoutData[[#This Row],[gmailMessageId]],
  WorkoutData_old[gmailMessageId],
  WorkoutData_old[WorkoutType]
)</f>
        <v>2G</v>
      </c>
      <c r="H131" s="4">
        <v>0.25</v>
      </c>
      <c r="I131" t="s">
        <v>433</v>
      </c>
      <c r="J131" t="s">
        <v>461</v>
      </c>
      <c r="K131">
        <v>914</v>
      </c>
      <c r="L131">
        <v>30</v>
      </c>
      <c r="M131">
        <v>159</v>
      </c>
      <c r="N131">
        <v>181</v>
      </c>
      <c r="O131">
        <v>4251</v>
      </c>
      <c r="P131">
        <v>2.0699999999999998</v>
      </c>
      <c r="Q131">
        <v>1178</v>
      </c>
      <c r="R131">
        <v>6.3</v>
      </c>
      <c r="S131">
        <v>9</v>
      </c>
      <c r="T131">
        <v>3.2</v>
      </c>
      <c r="U131">
        <v>8</v>
      </c>
      <c r="V131">
        <v>571</v>
      </c>
      <c r="W131">
        <v>400</v>
      </c>
      <c r="X131">
        <v>349.68</v>
      </c>
      <c r="Y131">
        <v>2127</v>
      </c>
      <c r="Z131">
        <v>1005</v>
      </c>
      <c r="AA131">
        <v>6</v>
      </c>
      <c r="AB131">
        <v>481</v>
      </c>
      <c r="AC131">
        <v>16.8</v>
      </c>
      <c r="AD131">
        <v>21.9</v>
      </c>
      <c r="AE131">
        <v>112</v>
      </c>
      <c r="AF131">
        <v>82</v>
      </c>
      <c r="AG131">
        <v>30</v>
      </c>
      <c r="AH131">
        <v>56</v>
      </c>
      <c r="AI131">
        <v>3</v>
      </c>
      <c r="AJ131">
        <v>2</v>
      </c>
      <c r="AK131">
        <v>21</v>
      </c>
      <c r="AL131">
        <v>30</v>
      </c>
      <c r="AM131">
        <v>0</v>
      </c>
      <c r="AN131" t="s">
        <v>937</v>
      </c>
      <c r="AO131" t="s">
        <v>937</v>
      </c>
    </row>
    <row r="132" spans="1:41" x14ac:dyDescent="0.25">
      <c r="A132" t="s">
        <v>1013</v>
      </c>
      <c r="B132" t="s">
        <v>138</v>
      </c>
      <c r="C132" t="s">
        <v>1014</v>
      </c>
      <c r="D132">
        <f>ROUND(
  (
    --SUBSTITUTE(LEFT(C132,19),"T"," ")
    - DATE(1970,1,1)
  ) * 86400000,
  0
)</f>
        <v>1697627662000</v>
      </c>
      <c r="E132" t="str">
        <f>LEFT(D132,10) &amp; "." &amp; RIGHT(D132,3)</f>
        <v>1697627662.000</v>
      </c>
      <c r="F132" s="3">
        <f>(((E132/60)/60)/24)+DATE(1970,1,1)</f>
        <v>45217.468310185184</v>
      </c>
      <c r="G132" t="str">
        <f>_xlfn.XLOOKUP(
  WorkoutData[[#This Row],[gmailMessageId]],
  WorkoutData_old[gmailMessageId],
  WorkoutData_old[WorkoutType]
)</f>
        <v>2G</v>
      </c>
      <c r="H132" s="4">
        <v>0.26041666666666669</v>
      </c>
      <c r="I132" t="s">
        <v>431</v>
      </c>
      <c r="J132" t="s">
        <v>1015</v>
      </c>
      <c r="K132">
        <v>949</v>
      </c>
      <c r="L132">
        <v>28</v>
      </c>
      <c r="M132">
        <v>160</v>
      </c>
      <c r="N132">
        <v>192</v>
      </c>
      <c r="O132">
        <v>4842</v>
      </c>
      <c r="P132">
        <v>3.03</v>
      </c>
      <c r="Q132">
        <v>1673</v>
      </c>
      <c r="R132">
        <v>6.5</v>
      </c>
      <c r="S132">
        <v>10</v>
      </c>
      <c r="T132">
        <v>1.1000000000000001</v>
      </c>
      <c r="U132">
        <v>15</v>
      </c>
      <c r="V132">
        <v>555</v>
      </c>
      <c r="W132">
        <v>360</v>
      </c>
      <c r="X132">
        <v>173.43</v>
      </c>
      <c r="Y132">
        <v>1072</v>
      </c>
      <c r="Z132">
        <v>244</v>
      </c>
      <c r="AA132">
        <v>5</v>
      </c>
      <c r="AB132">
        <v>466</v>
      </c>
      <c r="AC132">
        <v>8.3000000000000007</v>
      </c>
      <c r="AD132">
        <v>22.1</v>
      </c>
      <c r="AE132">
        <v>96</v>
      </c>
      <c r="AF132">
        <v>81</v>
      </c>
      <c r="AG132">
        <v>30.9</v>
      </c>
      <c r="AH132">
        <v>58</v>
      </c>
      <c r="AI132">
        <v>2</v>
      </c>
      <c r="AJ132">
        <v>5</v>
      </c>
      <c r="AK132">
        <v>23</v>
      </c>
      <c r="AL132">
        <v>20</v>
      </c>
      <c r="AM132">
        <v>8</v>
      </c>
      <c r="AN132" t="s">
        <v>1016</v>
      </c>
      <c r="AO132" t="s">
        <v>1016</v>
      </c>
    </row>
    <row r="133" spans="1:41" x14ac:dyDescent="0.25">
      <c r="A133" t="s">
        <v>994</v>
      </c>
      <c r="B133" t="s">
        <v>136</v>
      </c>
      <c r="C133" t="s">
        <v>995</v>
      </c>
      <c r="D133">
        <f>ROUND(
  (
    --SUBSTITUTE(LEFT(C133,19),"T"," ")
    - DATE(1970,1,1)
  ) * 86400000,
  0
)</f>
        <v>1751035368000</v>
      </c>
      <c r="E133" t="str">
        <f>LEFT(D133,10) &amp; "." &amp; RIGHT(D133,3)</f>
        <v>1751035368.000</v>
      </c>
      <c r="F133" s="3">
        <f>(((E133/60)/60)/24)+DATE(1970,1,1)</f>
        <v>45835.613055555557</v>
      </c>
      <c r="G133" t="str">
        <f>_xlfn.XLOOKUP(
  WorkoutData[[#This Row],[gmailMessageId]],
  WorkoutData_old[gmailMessageId],
  WorkoutData_old[WorkoutType]
)</f>
        <v>2G</v>
      </c>
      <c r="H133" s="4">
        <v>0.40625</v>
      </c>
      <c r="I133" t="s">
        <v>436</v>
      </c>
      <c r="J133" t="s">
        <v>437</v>
      </c>
      <c r="K133">
        <v>938</v>
      </c>
      <c r="L133">
        <v>29</v>
      </c>
      <c r="M133">
        <v>162</v>
      </c>
      <c r="N133">
        <v>185</v>
      </c>
      <c r="O133">
        <v>5017</v>
      </c>
      <c r="P133">
        <v>3.35</v>
      </c>
      <c r="Q133">
        <v>1914</v>
      </c>
      <c r="R133">
        <v>6.3</v>
      </c>
      <c r="S133">
        <v>10</v>
      </c>
      <c r="T133">
        <v>1.3</v>
      </c>
      <c r="U133">
        <v>4.5</v>
      </c>
      <c r="V133">
        <v>575</v>
      </c>
      <c r="W133">
        <v>360</v>
      </c>
      <c r="X133">
        <v>228.78</v>
      </c>
      <c r="Y133">
        <v>745</v>
      </c>
      <c r="Z133">
        <v>624</v>
      </c>
      <c r="AA133">
        <v>2</v>
      </c>
      <c r="AB133">
        <v>404</v>
      </c>
      <c r="AC133">
        <v>18.2</v>
      </c>
      <c r="AD133">
        <v>21.1</v>
      </c>
      <c r="AE133">
        <v>99</v>
      </c>
      <c r="AF133">
        <v>85</v>
      </c>
      <c r="AG133">
        <v>28.4</v>
      </c>
      <c r="AH133">
        <v>57</v>
      </c>
      <c r="AI133">
        <v>0</v>
      </c>
      <c r="AJ133">
        <v>3</v>
      </c>
      <c r="AK133">
        <v>25</v>
      </c>
      <c r="AL133">
        <v>26</v>
      </c>
      <c r="AM133">
        <v>3</v>
      </c>
      <c r="AN133" t="s">
        <v>996</v>
      </c>
      <c r="AO133" t="s">
        <v>996</v>
      </c>
    </row>
    <row r="134" spans="1:41" x14ac:dyDescent="0.25">
      <c r="A134" t="s">
        <v>789</v>
      </c>
      <c r="B134" t="s">
        <v>134</v>
      </c>
      <c r="C134" t="s">
        <v>790</v>
      </c>
      <c r="D134">
        <f>ROUND(
  (
    --SUBSTITUTE(LEFT(C134,19),"T"," ")
    - DATE(1970,1,1)
  ) * 86400000,
  0
)</f>
        <v>1751294567000</v>
      </c>
      <c r="E134" t="str">
        <f>LEFT(D134,10) &amp; "." &amp; RIGHT(D134,3)</f>
        <v>1751294567.000</v>
      </c>
      <c r="F134" s="3">
        <f>(((E134/60)/60)/24)+DATE(1970,1,1)</f>
        <v>45838.613043981488</v>
      </c>
      <c r="G134" t="str">
        <f>_xlfn.XLOOKUP(
  WorkoutData[[#This Row],[gmailMessageId]],
  WorkoutData_old[gmailMessageId],
  WorkoutData_old[WorkoutType]
)</f>
        <v>2G</v>
      </c>
      <c r="H134" s="4">
        <v>0.40625</v>
      </c>
      <c r="I134" t="s">
        <v>436</v>
      </c>
      <c r="J134" t="s">
        <v>437</v>
      </c>
      <c r="K134">
        <v>858</v>
      </c>
      <c r="L134">
        <v>18</v>
      </c>
      <c r="M134">
        <v>154</v>
      </c>
      <c r="N134">
        <v>182</v>
      </c>
      <c r="O134">
        <v>3854</v>
      </c>
      <c r="P134">
        <v>1.78</v>
      </c>
      <c r="Q134">
        <v>1230</v>
      </c>
      <c r="R134">
        <v>5.3</v>
      </c>
      <c r="S134">
        <v>10</v>
      </c>
      <c r="T134">
        <v>4</v>
      </c>
      <c r="U134">
        <v>9</v>
      </c>
      <c r="V134">
        <v>681</v>
      </c>
      <c r="W134">
        <v>360</v>
      </c>
      <c r="X134">
        <v>372.82</v>
      </c>
      <c r="Y134">
        <v>1958</v>
      </c>
      <c r="Z134">
        <v>457</v>
      </c>
      <c r="AA134">
        <v>7</v>
      </c>
      <c r="AB134">
        <v>378</v>
      </c>
      <c r="AC134">
        <v>16.3</v>
      </c>
      <c r="AD134">
        <v>20.100000000000001</v>
      </c>
      <c r="AE134">
        <v>113</v>
      </c>
      <c r="AF134">
        <v>89</v>
      </c>
      <c r="AG134">
        <v>28.4</v>
      </c>
      <c r="AH134">
        <v>57</v>
      </c>
      <c r="AI134">
        <v>0</v>
      </c>
      <c r="AJ134">
        <v>10</v>
      </c>
      <c r="AK134">
        <v>29</v>
      </c>
      <c r="AL134">
        <v>17</v>
      </c>
      <c r="AM134">
        <v>1</v>
      </c>
      <c r="AN134" t="s">
        <v>791</v>
      </c>
      <c r="AO134" t="s">
        <v>791</v>
      </c>
    </row>
    <row r="135" spans="1:41" x14ac:dyDescent="0.25">
      <c r="A135" t="s">
        <v>633</v>
      </c>
      <c r="B135" t="s">
        <v>132</v>
      </c>
      <c r="C135" t="s">
        <v>634</v>
      </c>
      <c r="D135">
        <f>ROUND(
  (
    --SUBSTITUTE(LEFT(C135,19),"T"," ")
    - DATE(1970,1,1)
  ) * 86400000,
  0
)</f>
        <v>1751545673000</v>
      </c>
      <c r="E135" t="str">
        <f>LEFT(D135,10) &amp; "." &amp; RIGHT(D135,3)</f>
        <v>1751545673.000</v>
      </c>
      <c r="F135" s="3">
        <f>(((E135/60)/60)/24)+DATE(1970,1,1)</f>
        <v>45841.519363425927</v>
      </c>
      <c r="G135" t="str">
        <f>_xlfn.XLOOKUP(
  WorkoutData[[#This Row],[gmailMessageId]],
  WorkoutData_old[gmailMessageId],
  WorkoutData_old[WorkoutType]
)</f>
        <v>2G</v>
      </c>
      <c r="H135" s="4">
        <v>0.3125</v>
      </c>
      <c r="I135" t="s">
        <v>436</v>
      </c>
      <c r="J135" t="s">
        <v>505</v>
      </c>
      <c r="K135">
        <v>803</v>
      </c>
      <c r="L135">
        <v>14</v>
      </c>
      <c r="M135">
        <v>148</v>
      </c>
      <c r="N135">
        <v>179</v>
      </c>
      <c r="O135">
        <v>4790</v>
      </c>
      <c r="P135">
        <v>2.46</v>
      </c>
      <c r="Q135">
        <v>1420</v>
      </c>
      <c r="R135">
        <v>6</v>
      </c>
      <c r="S135">
        <v>9</v>
      </c>
      <c r="T135">
        <v>1</v>
      </c>
      <c r="U135">
        <v>1</v>
      </c>
      <c r="V135">
        <v>603</v>
      </c>
      <c r="W135">
        <v>400</v>
      </c>
      <c r="X135">
        <v>129.62</v>
      </c>
      <c r="Y135">
        <v>2824</v>
      </c>
      <c r="Z135">
        <v>916</v>
      </c>
      <c r="AA135">
        <v>9</v>
      </c>
      <c r="AB135">
        <v>384</v>
      </c>
      <c r="AC135">
        <v>16.3</v>
      </c>
      <c r="AD135">
        <v>20.6</v>
      </c>
      <c r="AE135">
        <v>111</v>
      </c>
      <c r="AF135">
        <v>87</v>
      </c>
      <c r="AG135">
        <v>25.9</v>
      </c>
      <c r="AH135">
        <v>56</v>
      </c>
      <c r="AI135">
        <v>6</v>
      </c>
      <c r="AJ135">
        <v>9</v>
      </c>
      <c r="AK135">
        <v>27</v>
      </c>
      <c r="AL135">
        <v>14</v>
      </c>
      <c r="AM135">
        <v>0</v>
      </c>
      <c r="AN135" t="s">
        <v>635</v>
      </c>
      <c r="AO135" t="s">
        <v>635</v>
      </c>
    </row>
    <row r="136" spans="1:41" x14ac:dyDescent="0.25">
      <c r="A136" t="s">
        <v>884</v>
      </c>
      <c r="B136" s="1" t="s">
        <v>130</v>
      </c>
      <c r="C136" t="s">
        <v>885</v>
      </c>
      <c r="D136">
        <f>ROUND(
  (
    --SUBSTITUTE(LEFT(C136,19),"T"," ")
    - DATE(1970,1,1)
  ) * 86400000,
  0
)</f>
        <v>1751899367000</v>
      </c>
      <c r="E136" t="str">
        <f>LEFT(D136,10) &amp; "." &amp; RIGHT(D136,3)</f>
        <v>1751899367.000</v>
      </c>
      <c r="F136" s="3">
        <f>(((E136/60)/60)/24)+DATE(1970,1,1)</f>
        <v>45845.613043981488</v>
      </c>
      <c r="G136" t="str">
        <f>_xlfn.XLOOKUP(
  WorkoutData[[#This Row],[gmailMessageId]],
  WorkoutData_old[gmailMessageId],
  WorkoutData_old[WorkoutType]
)</f>
        <v>2G</v>
      </c>
      <c r="H136" s="4">
        <v>0.40625</v>
      </c>
      <c r="I136" t="s">
        <v>436</v>
      </c>
      <c r="J136" t="s">
        <v>437</v>
      </c>
      <c r="K136">
        <v>889</v>
      </c>
      <c r="L136">
        <v>23</v>
      </c>
      <c r="M136">
        <v>157</v>
      </c>
      <c r="N136">
        <v>186</v>
      </c>
      <c r="O136">
        <v>4815</v>
      </c>
      <c r="P136">
        <v>3.5</v>
      </c>
      <c r="Q136">
        <v>0</v>
      </c>
      <c r="R136">
        <v>6.7</v>
      </c>
      <c r="S136">
        <v>9</v>
      </c>
      <c r="T136">
        <v>1.4</v>
      </c>
      <c r="U136">
        <v>3</v>
      </c>
      <c r="V136">
        <v>538</v>
      </c>
      <c r="W136">
        <v>400</v>
      </c>
      <c r="X136">
        <v>260.39999999999998</v>
      </c>
      <c r="Y136">
        <v>1877</v>
      </c>
      <c r="Z136">
        <v>687</v>
      </c>
      <c r="AA136">
        <v>2</v>
      </c>
      <c r="AB136">
        <v>411</v>
      </c>
      <c r="AC136">
        <v>16.399999999999999</v>
      </c>
      <c r="AD136">
        <v>21.6</v>
      </c>
      <c r="AE136">
        <v>117</v>
      </c>
      <c r="AF136">
        <v>83</v>
      </c>
      <c r="AG136">
        <v>28.1</v>
      </c>
      <c r="AH136">
        <v>57</v>
      </c>
      <c r="AI136">
        <v>2</v>
      </c>
      <c r="AJ136">
        <v>7</v>
      </c>
      <c r="AK136">
        <v>25</v>
      </c>
      <c r="AL136">
        <v>21</v>
      </c>
      <c r="AM136">
        <v>2</v>
      </c>
      <c r="AN136" t="s">
        <v>886</v>
      </c>
      <c r="AO136" t="s">
        <v>886</v>
      </c>
    </row>
    <row r="137" spans="1:41" x14ac:dyDescent="0.25">
      <c r="A137" t="s">
        <v>715</v>
      </c>
      <c r="B137" t="s">
        <v>128</v>
      </c>
      <c r="C137" t="s">
        <v>716</v>
      </c>
      <c r="D137">
        <f>ROUND(
  (
    --SUBSTITUTE(LEFT(C137,19),"T"," ")
    - DATE(1970,1,1)
  ) * 86400000,
  0
)</f>
        <v>1752240766000</v>
      </c>
      <c r="E137" t="str">
        <f>LEFT(D137,10) &amp; "." &amp; RIGHT(D137,3)</f>
        <v>1752240766.000</v>
      </c>
      <c r="F137" s="3">
        <f>(((E137/60)/60)/24)+DATE(1970,1,1)</f>
        <v>45849.564421296294</v>
      </c>
      <c r="G137" t="str">
        <f>_xlfn.XLOOKUP(
  WorkoutData[[#This Row],[gmailMessageId]],
  WorkoutData_old[gmailMessageId],
  WorkoutData_old[WorkoutType]
)</f>
        <v>3G</v>
      </c>
      <c r="H137" s="4">
        <v>0.3576388888888889</v>
      </c>
      <c r="I137" t="s">
        <v>436</v>
      </c>
      <c r="J137" t="s">
        <v>437</v>
      </c>
      <c r="K137">
        <v>840</v>
      </c>
      <c r="L137">
        <v>6</v>
      </c>
      <c r="M137">
        <v>150</v>
      </c>
      <c r="N137">
        <v>174</v>
      </c>
      <c r="O137">
        <v>3432</v>
      </c>
      <c r="P137">
        <v>1.53</v>
      </c>
      <c r="Q137">
        <v>1003</v>
      </c>
      <c r="R137">
        <v>4.5999999999999996</v>
      </c>
      <c r="S137">
        <v>12</v>
      </c>
      <c r="T137">
        <v>1</v>
      </c>
      <c r="U137">
        <v>1</v>
      </c>
      <c r="V137">
        <v>775</v>
      </c>
      <c r="W137">
        <v>300</v>
      </c>
      <c r="X137">
        <v>80.510000000000005</v>
      </c>
      <c r="Y137">
        <v>2969</v>
      </c>
      <c r="Z137">
        <v>658</v>
      </c>
      <c r="AA137">
        <v>1</v>
      </c>
      <c r="AB137">
        <v>449</v>
      </c>
      <c r="AC137">
        <v>10.7</v>
      </c>
      <c r="AD137">
        <v>21.7</v>
      </c>
      <c r="AE137">
        <v>102</v>
      </c>
      <c r="AF137">
        <v>83</v>
      </c>
      <c r="AG137">
        <v>28.8</v>
      </c>
      <c r="AH137">
        <v>57</v>
      </c>
      <c r="AI137">
        <v>1</v>
      </c>
      <c r="AJ137">
        <v>10</v>
      </c>
      <c r="AK137">
        <v>40</v>
      </c>
      <c r="AL137">
        <v>6</v>
      </c>
      <c r="AM137">
        <v>0</v>
      </c>
      <c r="AN137" t="s">
        <v>717</v>
      </c>
      <c r="AO137" t="s">
        <v>717</v>
      </c>
    </row>
    <row r="138" spans="1:41" x14ac:dyDescent="0.25">
      <c r="A138" t="s">
        <v>446</v>
      </c>
      <c r="B138" t="s">
        <v>126</v>
      </c>
      <c r="C138" t="s">
        <v>447</v>
      </c>
      <c r="D138">
        <f>ROUND(
  (
    --SUBSTITUTE(LEFT(C138,19),"T"," ")
    - DATE(1970,1,1)
  ) * 86400000,
  0
)</f>
        <v>1752495370000</v>
      </c>
      <c r="E138" t="str">
        <f>LEFT(D138,10) &amp; "." &amp; RIGHT(D138,3)</f>
        <v>1752495370.000</v>
      </c>
      <c r="F138" s="3">
        <f>(((E138/60)/60)/24)+DATE(1970,1,1)</f>
        <v>45852.511226851857</v>
      </c>
      <c r="G138" t="str">
        <f>_xlfn.XLOOKUP(
  WorkoutData[[#This Row],[gmailMessageId]],
  WorkoutData_old[gmailMessageId],
  WorkoutData_old[WorkoutType]
)</f>
        <v>Strength (Upper)</v>
      </c>
      <c r="H138" s="4">
        <v>0.3125</v>
      </c>
      <c r="I138" t="s">
        <v>436</v>
      </c>
      <c r="J138" t="s">
        <v>437</v>
      </c>
      <c r="K138">
        <v>476</v>
      </c>
      <c r="L138">
        <v>0</v>
      </c>
      <c r="M138">
        <v>124</v>
      </c>
      <c r="N138">
        <v>163</v>
      </c>
      <c r="O138">
        <v>714</v>
      </c>
      <c r="AH138">
        <v>44</v>
      </c>
      <c r="AI138">
        <v>13</v>
      </c>
      <c r="AJ138">
        <v>15</v>
      </c>
      <c r="AK138">
        <v>16</v>
      </c>
      <c r="AL138">
        <v>0</v>
      </c>
      <c r="AM138">
        <v>0</v>
      </c>
      <c r="AN138" t="s">
        <v>448</v>
      </c>
      <c r="AO138" t="s">
        <v>448</v>
      </c>
    </row>
    <row r="139" spans="1:41" x14ac:dyDescent="0.25">
      <c r="A139" t="s">
        <v>920</v>
      </c>
      <c r="B139" t="s">
        <v>124</v>
      </c>
      <c r="C139" t="s">
        <v>921</v>
      </c>
      <c r="D139">
        <f>ROUND(
  (
    --SUBSTITUTE(LEFT(C139,19),"T"," ")
    - DATE(1970,1,1)
  ) * 86400000,
  0
)</f>
        <v>1752849771000</v>
      </c>
      <c r="E139" t="str">
        <f>LEFT(D139,10) &amp; "." &amp; RIGHT(D139,3)</f>
        <v>1752849771.000</v>
      </c>
      <c r="F139" s="3">
        <f>(((E139/60)/60)/24)+DATE(1970,1,1)</f>
        <v>45856.61309027778</v>
      </c>
      <c r="G139" t="str">
        <f>_xlfn.XLOOKUP(
  WorkoutData[[#This Row],[gmailMessageId]],
  WorkoutData_old[gmailMessageId],
  WorkoutData_old[WorkoutType]
)</f>
        <v>2G</v>
      </c>
      <c r="H139" s="4">
        <v>0.40625</v>
      </c>
      <c r="I139" t="s">
        <v>436</v>
      </c>
      <c r="J139" t="s">
        <v>437</v>
      </c>
      <c r="K139">
        <v>907</v>
      </c>
      <c r="L139">
        <v>23</v>
      </c>
      <c r="M139">
        <v>161</v>
      </c>
      <c r="N139">
        <v>182</v>
      </c>
      <c r="O139">
        <v>5347</v>
      </c>
      <c r="P139">
        <v>2.84</v>
      </c>
      <c r="Q139">
        <v>1532</v>
      </c>
      <c r="R139">
        <v>5.7</v>
      </c>
      <c r="S139">
        <v>10</v>
      </c>
      <c r="T139">
        <v>1</v>
      </c>
      <c r="U139">
        <v>1</v>
      </c>
      <c r="V139">
        <v>635</v>
      </c>
      <c r="W139">
        <v>360</v>
      </c>
      <c r="X139">
        <v>150.19999999999999</v>
      </c>
      <c r="Y139">
        <v>3429</v>
      </c>
      <c r="Z139">
        <v>1659</v>
      </c>
      <c r="AA139">
        <v>4</v>
      </c>
      <c r="AB139">
        <v>431</v>
      </c>
      <c r="AC139">
        <v>16.899999999999999</v>
      </c>
      <c r="AD139">
        <v>21.2</v>
      </c>
      <c r="AE139">
        <v>108</v>
      </c>
      <c r="AF139">
        <v>84</v>
      </c>
      <c r="AG139">
        <v>27.9</v>
      </c>
      <c r="AH139">
        <v>56</v>
      </c>
      <c r="AI139">
        <v>1</v>
      </c>
      <c r="AJ139">
        <v>1</v>
      </c>
      <c r="AK139">
        <v>31</v>
      </c>
      <c r="AL139">
        <v>23</v>
      </c>
      <c r="AM139">
        <v>0</v>
      </c>
      <c r="AN139" t="s">
        <v>922</v>
      </c>
      <c r="AO139" t="s">
        <v>922</v>
      </c>
    </row>
    <row r="140" spans="1:41" x14ac:dyDescent="0.25">
      <c r="A140" t="s">
        <v>434</v>
      </c>
      <c r="B140" t="s">
        <v>122</v>
      </c>
      <c r="C140" t="s">
        <v>435</v>
      </c>
      <c r="D140">
        <f>ROUND(
  (
    --SUBSTITUTE(LEFT(C140,19),"T"," ")
    - DATE(1970,1,1)
  ) * 86400000,
  0
)</f>
        <v>1753709407000</v>
      </c>
      <c r="E140" t="str">
        <f>LEFT(D140,10) &amp; "." &amp; RIGHT(D140,3)</f>
        <v>1753709407.000</v>
      </c>
      <c r="F140" s="3">
        <f>(((E140/60)/60)/24)+DATE(1970,1,1)</f>
        <v>45866.562581018516</v>
      </c>
      <c r="G140" t="str">
        <f>_xlfn.XLOOKUP(
  WorkoutData[[#This Row],[gmailMessageId]],
  WorkoutData_old[gmailMessageId],
  WorkoutData_old[WorkoutType]
)</f>
        <v>3G</v>
      </c>
      <c r="H140" s="4">
        <v>0.3576388888888889</v>
      </c>
      <c r="I140" t="s">
        <v>436</v>
      </c>
      <c r="J140" t="s">
        <v>437</v>
      </c>
      <c r="K140">
        <v>233</v>
      </c>
      <c r="L140">
        <v>6</v>
      </c>
      <c r="M140">
        <v>139</v>
      </c>
      <c r="N140">
        <v>175</v>
      </c>
      <c r="O140">
        <v>1328</v>
      </c>
      <c r="Y140">
        <v>3840</v>
      </c>
      <c r="Z140">
        <v>908</v>
      </c>
      <c r="AA140">
        <v>4</v>
      </c>
      <c r="AB140">
        <v>450</v>
      </c>
      <c r="AC140">
        <v>12.9</v>
      </c>
      <c r="AD140">
        <v>36</v>
      </c>
      <c r="AE140">
        <v>106</v>
      </c>
      <c r="AF140">
        <v>50</v>
      </c>
      <c r="AG140">
        <v>29.5</v>
      </c>
      <c r="AH140">
        <v>17</v>
      </c>
      <c r="AI140">
        <v>5</v>
      </c>
      <c r="AJ140">
        <v>0</v>
      </c>
      <c r="AK140">
        <v>6</v>
      </c>
      <c r="AL140">
        <v>6</v>
      </c>
      <c r="AM140">
        <v>0</v>
      </c>
      <c r="AN140" t="s">
        <v>438</v>
      </c>
      <c r="AO140" t="s">
        <v>438</v>
      </c>
    </row>
    <row r="141" spans="1:41" x14ac:dyDescent="0.25">
      <c r="A141" t="s">
        <v>988</v>
      </c>
      <c r="B141" t="s">
        <v>120</v>
      </c>
      <c r="C141" t="s">
        <v>989</v>
      </c>
      <c r="D141">
        <f>ROUND(
  (
    --SUBSTITUTE(LEFT(C141,19),"T"," ")
    - DATE(1970,1,1)
  ) * 86400000,
  0
)</f>
        <v>1754059366000</v>
      </c>
      <c r="E141" t="str">
        <f>LEFT(D141,10) &amp; "." &amp; RIGHT(D141,3)</f>
        <v>1754059366.000</v>
      </c>
      <c r="F141" s="3">
        <f>(((E141/60)/60)/24)+DATE(1970,1,1)</f>
        <v>45870.613032407404</v>
      </c>
      <c r="G141" t="str">
        <f>_xlfn.XLOOKUP(
  WorkoutData[[#This Row],[gmailMessageId]],
  WorkoutData_old[gmailMessageId],
  WorkoutData_old[WorkoutType]
)</f>
        <v>2G</v>
      </c>
      <c r="H141" s="4">
        <v>0.40625</v>
      </c>
      <c r="I141" t="s">
        <v>436</v>
      </c>
      <c r="J141" t="s">
        <v>437</v>
      </c>
      <c r="K141">
        <v>936</v>
      </c>
      <c r="L141">
        <v>33</v>
      </c>
      <c r="M141">
        <v>166</v>
      </c>
      <c r="N141">
        <v>192</v>
      </c>
      <c r="O141">
        <v>5061</v>
      </c>
      <c r="P141">
        <v>3.43</v>
      </c>
      <c r="Q141">
        <v>1614</v>
      </c>
      <c r="R141">
        <v>6.6</v>
      </c>
      <c r="S141">
        <v>12</v>
      </c>
      <c r="T141">
        <v>1</v>
      </c>
      <c r="U141">
        <v>1</v>
      </c>
      <c r="V141">
        <v>547</v>
      </c>
      <c r="W141">
        <v>300</v>
      </c>
      <c r="X141">
        <v>181.1</v>
      </c>
      <c r="Y141">
        <v>1917</v>
      </c>
      <c r="Z141">
        <v>550</v>
      </c>
      <c r="AA141">
        <v>4</v>
      </c>
      <c r="AB141">
        <v>474</v>
      </c>
      <c r="AC141">
        <v>8.3000000000000007</v>
      </c>
      <c r="AD141">
        <v>21.3</v>
      </c>
      <c r="AE141">
        <v>105</v>
      </c>
      <c r="AF141">
        <v>84</v>
      </c>
      <c r="AG141">
        <v>27.3</v>
      </c>
      <c r="AH141">
        <v>55</v>
      </c>
      <c r="AI141">
        <v>1</v>
      </c>
      <c r="AJ141">
        <v>2</v>
      </c>
      <c r="AK141">
        <v>19</v>
      </c>
      <c r="AL141">
        <v>20</v>
      </c>
      <c r="AM141">
        <v>13</v>
      </c>
      <c r="AN141" t="s">
        <v>990</v>
      </c>
      <c r="AO141" t="s">
        <v>990</v>
      </c>
    </row>
    <row r="142" spans="1:41" x14ac:dyDescent="0.25">
      <c r="A142" t="s">
        <v>449</v>
      </c>
      <c r="B142" t="s">
        <v>118</v>
      </c>
      <c r="C142" t="s">
        <v>450</v>
      </c>
      <c r="D142">
        <f>ROUND(
  (
    --SUBSTITUTE(LEFT(C142,19),"T"," ")
    - DATE(1970,1,1)
  ) * 86400000,
  0
)</f>
        <v>1754310164000</v>
      </c>
      <c r="E142" t="str">
        <f>LEFT(D142,10) &amp; "." &amp; RIGHT(D142,3)</f>
        <v>1754310164.000</v>
      </c>
      <c r="F142" s="3">
        <f>(((E142/60)/60)/24)+DATE(1970,1,1)</f>
        <v>45873.515787037039</v>
      </c>
      <c r="G142" t="str">
        <f>_xlfn.XLOOKUP(
  WorkoutData[[#This Row],[gmailMessageId]],
  WorkoutData_old[gmailMessageId],
  WorkoutData_old[WorkoutType]
)</f>
        <v>Strength (Upper)</v>
      </c>
      <c r="H142" s="4">
        <v>0.3125</v>
      </c>
      <c r="I142" t="s">
        <v>436</v>
      </c>
      <c r="J142" t="s">
        <v>437</v>
      </c>
      <c r="K142">
        <v>504</v>
      </c>
      <c r="L142">
        <v>0</v>
      </c>
      <c r="M142">
        <v>123</v>
      </c>
      <c r="N142">
        <v>163</v>
      </c>
      <c r="O142">
        <v>768</v>
      </c>
      <c r="AH142">
        <v>48</v>
      </c>
      <c r="AI142">
        <v>18</v>
      </c>
      <c r="AJ142">
        <v>19</v>
      </c>
      <c r="AK142">
        <v>11</v>
      </c>
      <c r="AL142">
        <v>0</v>
      </c>
      <c r="AM142">
        <v>0</v>
      </c>
      <c r="AN142" t="s">
        <v>451</v>
      </c>
      <c r="AO142" t="s">
        <v>451</v>
      </c>
    </row>
    <row r="143" spans="1:41" x14ac:dyDescent="0.25">
      <c r="A143" t="s">
        <v>687</v>
      </c>
      <c r="B143" t="s">
        <v>116</v>
      </c>
      <c r="C143" t="s">
        <v>688</v>
      </c>
      <c r="D143">
        <f>ROUND(
  (
    --SUBSTITUTE(LEFT(C143,19),"T"," ")
    - DATE(1970,1,1)
  ) * 86400000,
  0
)</f>
        <v>1754483297000</v>
      </c>
      <c r="E143" t="str">
        <f>LEFT(D143,10) &amp; "." &amp; RIGHT(D143,3)</f>
        <v>1754483297.000</v>
      </c>
      <c r="F143" s="3">
        <f>(((E143/60)/60)/24)+DATE(1970,1,1)</f>
        <v>45875.519641203704</v>
      </c>
      <c r="G143" t="str">
        <f>_xlfn.XLOOKUP(
  WorkoutData[[#This Row],[gmailMessageId]],
  WorkoutData_old[gmailMessageId],
  WorkoutData_old[WorkoutType]
)</f>
        <v>2G</v>
      </c>
      <c r="H143" s="4">
        <v>0.3125</v>
      </c>
      <c r="I143" t="s">
        <v>436</v>
      </c>
      <c r="J143" t="s">
        <v>689</v>
      </c>
      <c r="K143">
        <v>834</v>
      </c>
      <c r="L143">
        <v>25</v>
      </c>
      <c r="M143">
        <v>160</v>
      </c>
      <c r="N143">
        <v>188</v>
      </c>
      <c r="O143">
        <v>3541</v>
      </c>
      <c r="P143">
        <v>2.2400000000000002</v>
      </c>
      <c r="Q143">
        <v>1172</v>
      </c>
      <c r="R143">
        <v>6</v>
      </c>
      <c r="S143">
        <v>10</v>
      </c>
      <c r="T143">
        <v>1</v>
      </c>
      <c r="U143">
        <v>1</v>
      </c>
      <c r="V143">
        <v>603</v>
      </c>
      <c r="W143">
        <v>360</v>
      </c>
      <c r="X143">
        <v>118.22</v>
      </c>
      <c r="Y143">
        <v>1397</v>
      </c>
      <c r="Z143">
        <v>445</v>
      </c>
      <c r="AA143">
        <v>2</v>
      </c>
      <c r="AB143">
        <v>450</v>
      </c>
      <c r="AC143">
        <v>17.8</v>
      </c>
      <c r="AD143">
        <v>21.3</v>
      </c>
      <c r="AE143">
        <v>110</v>
      </c>
      <c r="AF143">
        <v>84</v>
      </c>
      <c r="AG143">
        <v>29.4</v>
      </c>
      <c r="AH143">
        <v>51</v>
      </c>
      <c r="AI143">
        <v>3</v>
      </c>
      <c r="AJ143">
        <v>2</v>
      </c>
      <c r="AK143">
        <v>21</v>
      </c>
      <c r="AL143">
        <v>19</v>
      </c>
      <c r="AM143">
        <v>6</v>
      </c>
      <c r="AN143" t="s">
        <v>690</v>
      </c>
      <c r="AO143" t="s">
        <v>690</v>
      </c>
    </row>
    <row r="144" spans="1:41" x14ac:dyDescent="0.25">
      <c r="A144" t="s">
        <v>869</v>
      </c>
      <c r="B144" t="s">
        <v>114</v>
      </c>
      <c r="C144" t="s">
        <v>870</v>
      </c>
      <c r="D144">
        <f>ROUND(
  (
    --SUBSTITUTE(LEFT(C144,19),"T"," ")
    - DATE(1970,1,1)
  ) * 86400000,
  0
)</f>
        <v>1754664170000</v>
      </c>
      <c r="E144" t="str">
        <f>LEFT(D144,10) &amp; "." &amp; RIGHT(D144,3)</f>
        <v>1754664170.000</v>
      </c>
      <c r="F144" s="3">
        <f>(((E144/60)/60)/24)+DATE(1970,1,1)</f>
        <v>45877.613078703704</v>
      </c>
      <c r="G144" t="str">
        <f>_xlfn.XLOOKUP(
  WorkoutData[[#This Row],[gmailMessageId]],
  WorkoutData_old[gmailMessageId],
  WorkoutData_old[WorkoutType]
)</f>
        <v>2G</v>
      </c>
      <c r="H144" s="4">
        <v>0.40625</v>
      </c>
      <c r="I144" t="s">
        <v>436</v>
      </c>
      <c r="J144" t="s">
        <v>437</v>
      </c>
      <c r="K144">
        <v>886</v>
      </c>
      <c r="L144">
        <v>22</v>
      </c>
      <c r="M144">
        <v>158</v>
      </c>
      <c r="N144">
        <v>190</v>
      </c>
      <c r="O144">
        <v>4169</v>
      </c>
      <c r="P144">
        <v>2.76</v>
      </c>
      <c r="Q144">
        <v>692</v>
      </c>
      <c r="R144">
        <v>5.6</v>
      </c>
      <c r="S144">
        <v>12</v>
      </c>
      <c r="T144">
        <v>1</v>
      </c>
      <c r="U144">
        <v>4.5</v>
      </c>
      <c r="V144">
        <v>643</v>
      </c>
      <c r="W144">
        <v>300</v>
      </c>
      <c r="X144">
        <v>149.26</v>
      </c>
      <c r="Y144">
        <v>1386</v>
      </c>
      <c r="Z144">
        <v>331</v>
      </c>
      <c r="AA144">
        <v>8</v>
      </c>
      <c r="AB144">
        <v>652</v>
      </c>
      <c r="AC144">
        <v>18.899999999999999</v>
      </c>
      <c r="AD144">
        <v>24.9</v>
      </c>
      <c r="AE144">
        <v>101</v>
      </c>
      <c r="AF144">
        <v>72</v>
      </c>
      <c r="AG144">
        <v>31.2</v>
      </c>
      <c r="AH144">
        <v>56</v>
      </c>
      <c r="AI144">
        <v>2</v>
      </c>
      <c r="AJ144">
        <v>5</v>
      </c>
      <c r="AK144">
        <v>27</v>
      </c>
      <c r="AL144">
        <v>18</v>
      </c>
      <c r="AM144">
        <v>4</v>
      </c>
      <c r="AN144" t="s">
        <v>871</v>
      </c>
      <c r="AO144" t="s">
        <v>871</v>
      </c>
    </row>
    <row r="145" spans="1:41" x14ac:dyDescent="0.25">
      <c r="A145" t="s">
        <v>712</v>
      </c>
      <c r="B145" t="s">
        <v>112</v>
      </c>
      <c r="C145" t="s">
        <v>713</v>
      </c>
      <c r="D145">
        <f>ROUND(
  (
    --SUBSTITUTE(LEFT(C145,19),"T"," ")
    - DATE(1970,1,1)
  ) * 86400000,
  0
)</f>
        <v>1754919100000</v>
      </c>
      <c r="E145" t="str">
        <f>LEFT(D145,10) &amp; "." &amp; RIGHT(D145,3)</f>
        <v>1754919100.000</v>
      </c>
      <c r="F145" s="3">
        <f>(((E145/60)/60)/24)+DATE(1970,1,1)</f>
        <v>45880.563657407409</v>
      </c>
      <c r="G145" t="str">
        <f>_xlfn.XLOOKUP(
  WorkoutData[[#This Row],[gmailMessageId]],
  WorkoutData_old[gmailMessageId],
  WorkoutData_old[WorkoutType]
)</f>
        <v>3G</v>
      </c>
      <c r="H145" s="4">
        <v>0.3576388888888889</v>
      </c>
      <c r="I145" t="s">
        <v>436</v>
      </c>
      <c r="J145" t="s">
        <v>437</v>
      </c>
      <c r="K145">
        <v>840</v>
      </c>
      <c r="L145">
        <v>16</v>
      </c>
      <c r="M145">
        <v>152</v>
      </c>
      <c r="N145">
        <v>181</v>
      </c>
      <c r="O145">
        <v>3787</v>
      </c>
      <c r="P145">
        <v>1.62</v>
      </c>
      <c r="Q145">
        <v>973</v>
      </c>
      <c r="R145">
        <v>5</v>
      </c>
      <c r="S145">
        <v>10</v>
      </c>
      <c r="T145">
        <v>2.2000000000000002</v>
      </c>
      <c r="U145">
        <v>10</v>
      </c>
      <c r="V145">
        <v>713</v>
      </c>
      <c r="W145">
        <v>360</v>
      </c>
      <c r="X145">
        <v>190.5</v>
      </c>
      <c r="Y145">
        <v>4131</v>
      </c>
      <c r="Z145">
        <v>1011</v>
      </c>
      <c r="AA145">
        <v>3</v>
      </c>
      <c r="AB145">
        <v>404</v>
      </c>
      <c r="AC145">
        <v>17</v>
      </c>
      <c r="AD145">
        <v>21.2</v>
      </c>
      <c r="AE145">
        <v>108</v>
      </c>
      <c r="AF145">
        <v>84</v>
      </c>
      <c r="AG145">
        <v>28.1</v>
      </c>
      <c r="AH145">
        <v>56</v>
      </c>
      <c r="AI145">
        <v>4</v>
      </c>
      <c r="AJ145">
        <v>6</v>
      </c>
      <c r="AK145">
        <v>30</v>
      </c>
      <c r="AL145">
        <v>16</v>
      </c>
      <c r="AM145">
        <v>0</v>
      </c>
      <c r="AN145" t="s">
        <v>714</v>
      </c>
      <c r="AO145" t="s">
        <v>714</v>
      </c>
    </row>
    <row r="146" spans="1:41" x14ac:dyDescent="0.25">
      <c r="A146" t="s">
        <v>559</v>
      </c>
      <c r="B146" t="s">
        <v>110</v>
      </c>
      <c r="C146" t="s">
        <v>560</v>
      </c>
      <c r="D146">
        <f>ROUND(
  (
    --SUBSTITUTE(LEFT(C146,19),"T"," ")
    - DATE(1970,1,1)
  ) * 86400000,
  0
)</f>
        <v>1755174467000</v>
      </c>
      <c r="E146" t="str">
        <f>LEFT(D146,10) &amp; "." &amp; RIGHT(D146,3)</f>
        <v>1755174467.000</v>
      </c>
      <c r="F146" s="3">
        <f>(((E146/60)/60)/24)+DATE(1970,1,1)</f>
        <v>45883.519293981488</v>
      </c>
      <c r="G146" t="str">
        <f>_xlfn.XLOOKUP(
  WorkoutData[[#This Row],[gmailMessageId]],
  WorkoutData_old[gmailMessageId],
  WorkoutData_old[WorkoutType]
)</f>
        <v>2G</v>
      </c>
      <c r="H146" s="4">
        <v>0.3125</v>
      </c>
      <c r="I146" t="s">
        <v>436</v>
      </c>
      <c r="J146" t="s">
        <v>505</v>
      </c>
      <c r="K146">
        <v>770</v>
      </c>
      <c r="L146">
        <v>9</v>
      </c>
      <c r="M146">
        <v>151</v>
      </c>
      <c r="N146">
        <v>190</v>
      </c>
      <c r="O146">
        <v>4058</v>
      </c>
      <c r="P146">
        <v>2.5099999999999998</v>
      </c>
      <c r="Q146">
        <v>1340</v>
      </c>
      <c r="R146">
        <v>6.1</v>
      </c>
      <c r="S146">
        <v>12</v>
      </c>
      <c r="T146">
        <v>1</v>
      </c>
      <c r="U146">
        <v>1</v>
      </c>
      <c r="V146">
        <v>590</v>
      </c>
      <c r="W146">
        <v>300</v>
      </c>
      <c r="X146">
        <v>132.30000000000001</v>
      </c>
      <c r="AH146">
        <v>52</v>
      </c>
      <c r="AI146">
        <v>3</v>
      </c>
      <c r="AJ146">
        <v>6</v>
      </c>
      <c r="AK146">
        <v>34</v>
      </c>
      <c r="AL146">
        <v>4</v>
      </c>
      <c r="AM146">
        <v>5</v>
      </c>
      <c r="AN146" t="s">
        <v>561</v>
      </c>
      <c r="AO146" t="s">
        <v>561</v>
      </c>
    </row>
    <row r="147" spans="1:41" x14ac:dyDescent="0.25">
      <c r="A147" t="s">
        <v>640</v>
      </c>
      <c r="B147" t="s">
        <v>108</v>
      </c>
      <c r="C147" t="s">
        <v>641</v>
      </c>
      <c r="D147">
        <f>ROUND(
  (
    --SUBSTITUTE(LEFT(C147,19),"T"," ")
    - DATE(1970,1,1)
  ) * 86400000,
  0
)</f>
        <v>1755873769000</v>
      </c>
      <c r="E147" t="str">
        <f>LEFT(D147,10) &amp; "." &amp; RIGHT(D147,3)</f>
        <v>1755873769.000</v>
      </c>
      <c r="F147" s="3">
        <f>(((E147/60)/60)/24)+DATE(1970,1,1)</f>
        <v>45891.613067129627</v>
      </c>
      <c r="G147" t="str">
        <f>_xlfn.XLOOKUP(
  WorkoutData[[#This Row],[gmailMessageId]],
  WorkoutData_old[gmailMessageId],
  WorkoutData_old[WorkoutType]
)</f>
        <v>2G</v>
      </c>
      <c r="H147" s="4">
        <v>0.40625</v>
      </c>
      <c r="I147" t="s">
        <v>436</v>
      </c>
      <c r="J147" t="s">
        <v>437</v>
      </c>
      <c r="K147">
        <v>808</v>
      </c>
      <c r="L147">
        <v>19</v>
      </c>
      <c r="M147">
        <v>155</v>
      </c>
      <c r="N147">
        <v>184</v>
      </c>
      <c r="O147">
        <v>3792</v>
      </c>
      <c r="P147">
        <v>2.58</v>
      </c>
      <c r="Q147">
        <v>1548</v>
      </c>
      <c r="R147">
        <v>6.5</v>
      </c>
      <c r="S147">
        <v>12</v>
      </c>
      <c r="T147">
        <v>1</v>
      </c>
      <c r="U147">
        <v>1</v>
      </c>
      <c r="V147">
        <v>556</v>
      </c>
      <c r="W147">
        <v>300</v>
      </c>
      <c r="X147">
        <v>135.82</v>
      </c>
      <c r="Y147">
        <v>478</v>
      </c>
      <c r="Z147">
        <v>77</v>
      </c>
      <c r="AA147">
        <v>5</v>
      </c>
      <c r="AB147">
        <v>571</v>
      </c>
      <c r="AC147">
        <v>22</v>
      </c>
      <c r="AD147">
        <v>24.5</v>
      </c>
      <c r="AE147">
        <v>82</v>
      </c>
      <c r="AF147">
        <v>73</v>
      </c>
      <c r="AG147">
        <v>33.9</v>
      </c>
      <c r="AH147">
        <v>52</v>
      </c>
      <c r="AI147">
        <v>2</v>
      </c>
      <c r="AJ147">
        <v>4</v>
      </c>
      <c r="AK147">
        <v>27</v>
      </c>
      <c r="AL147">
        <v>18</v>
      </c>
      <c r="AM147">
        <v>1</v>
      </c>
      <c r="AN147" t="s">
        <v>642</v>
      </c>
      <c r="AO147" t="s">
        <v>642</v>
      </c>
    </row>
    <row r="148" spans="1:41" x14ac:dyDescent="0.25">
      <c r="A148" t="s">
        <v>961</v>
      </c>
      <c r="B148" t="s">
        <v>106</v>
      </c>
      <c r="C148" t="s">
        <v>962</v>
      </c>
      <c r="D148">
        <f>ROUND(
  (
    --SUBSTITUTE(LEFT(C148,19),"T"," ")
    - DATE(1970,1,1)
  ) * 86400000,
  0
)</f>
        <v>1756129065000</v>
      </c>
      <c r="E148" t="str">
        <f>LEFT(D148,10) &amp; "." &amp; RIGHT(D148,3)</f>
        <v>1756129065.000</v>
      </c>
      <c r="F148" s="3">
        <f>(((E148/60)/60)/24)+DATE(1970,1,1)</f>
        <v>45894.567881944444</v>
      </c>
      <c r="G148" t="str">
        <f>_xlfn.XLOOKUP(
  WorkoutData[[#This Row],[gmailMessageId]],
  WorkoutData_old[gmailMessageId],
  WorkoutData_old[WorkoutType]
)</f>
        <v>3G</v>
      </c>
      <c r="H148" s="4">
        <v>0.3576388888888889</v>
      </c>
      <c r="I148" t="s">
        <v>436</v>
      </c>
      <c r="J148" t="s">
        <v>437</v>
      </c>
      <c r="K148">
        <v>931</v>
      </c>
      <c r="L148">
        <v>23</v>
      </c>
      <c r="M148">
        <v>157</v>
      </c>
      <c r="N148">
        <v>187</v>
      </c>
      <c r="O148">
        <v>4176</v>
      </c>
      <c r="P148">
        <v>2.36</v>
      </c>
      <c r="Q148">
        <v>1209</v>
      </c>
      <c r="R148">
        <v>6.9</v>
      </c>
      <c r="S148">
        <v>10</v>
      </c>
      <c r="T148">
        <v>1.9</v>
      </c>
      <c r="U148">
        <v>5</v>
      </c>
      <c r="V148">
        <v>523</v>
      </c>
      <c r="W148">
        <v>360</v>
      </c>
      <c r="X148">
        <v>234.46</v>
      </c>
      <c r="Y148">
        <v>2385</v>
      </c>
      <c r="Z148">
        <v>1017</v>
      </c>
      <c r="AA148">
        <v>3</v>
      </c>
      <c r="AB148">
        <v>396</v>
      </c>
      <c r="AC148">
        <v>17.7</v>
      </c>
      <c r="AD148">
        <v>21.1</v>
      </c>
      <c r="AE148">
        <v>103</v>
      </c>
      <c r="AF148">
        <v>85</v>
      </c>
      <c r="AG148">
        <v>31.3</v>
      </c>
      <c r="AH148">
        <v>59</v>
      </c>
      <c r="AI148">
        <v>1</v>
      </c>
      <c r="AJ148">
        <v>8</v>
      </c>
      <c r="AK148">
        <v>27</v>
      </c>
      <c r="AL148">
        <v>22</v>
      </c>
      <c r="AM148">
        <v>1</v>
      </c>
      <c r="AN148" t="s">
        <v>963</v>
      </c>
      <c r="AO148" t="s">
        <v>963</v>
      </c>
    </row>
    <row r="149" spans="1:41" x14ac:dyDescent="0.25">
      <c r="A149" t="s">
        <v>767</v>
      </c>
      <c r="B149" s="1" t="s">
        <v>104</v>
      </c>
      <c r="C149" t="s">
        <v>768</v>
      </c>
      <c r="D149">
        <f>ROUND(
  (
    --SUBSTITUTE(LEFT(C149,19),"T"," ")
    - DATE(1970,1,1)
  ) * 86400000,
  0
)</f>
        <v>1757151767000</v>
      </c>
      <c r="E149" t="str">
        <f>LEFT(D149,10) &amp; "." &amp; RIGHT(D149,3)</f>
        <v>1757151767.000</v>
      </c>
      <c r="F149" s="3">
        <f>(((E149/60)/60)/24)+DATE(1970,1,1)</f>
        <v>45906.404710648145</v>
      </c>
      <c r="G149" t="str">
        <f>_xlfn.XLOOKUP(
  WorkoutData[[#This Row],[gmailMessageId]],
  WorkoutData_old[gmailMessageId],
  WorkoutData_old[WorkoutType]
)</f>
        <v>3G</v>
      </c>
      <c r="H149" s="4">
        <v>0.3576388888888889</v>
      </c>
      <c r="I149" t="s">
        <v>436</v>
      </c>
      <c r="J149" t="s">
        <v>598</v>
      </c>
      <c r="K149">
        <v>854</v>
      </c>
      <c r="L149">
        <v>25</v>
      </c>
      <c r="M149">
        <v>157</v>
      </c>
      <c r="N149">
        <v>184</v>
      </c>
      <c r="O149">
        <v>4197</v>
      </c>
      <c r="P149">
        <v>1.63</v>
      </c>
      <c r="Q149">
        <v>917</v>
      </c>
      <c r="R149">
        <v>5.4</v>
      </c>
      <c r="S149">
        <v>9</v>
      </c>
      <c r="T149">
        <v>1</v>
      </c>
      <c r="U149">
        <v>1</v>
      </c>
      <c r="V149">
        <v>666</v>
      </c>
      <c r="W149">
        <v>400</v>
      </c>
      <c r="X149">
        <v>86.17</v>
      </c>
      <c r="Y149">
        <v>4542</v>
      </c>
      <c r="Z149">
        <v>1181</v>
      </c>
      <c r="AA149">
        <v>238</v>
      </c>
      <c r="AB149">
        <v>504</v>
      </c>
      <c r="AC149">
        <v>17.3</v>
      </c>
      <c r="AD149">
        <v>22.7</v>
      </c>
      <c r="AE149">
        <v>109</v>
      </c>
      <c r="AF149">
        <v>79</v>
      </c>
      <c r="AG149">
        <v>31</v>
      </c>
      <c r="AH149">
        <v>54</v>
      </c>
      <c r="AI149">
        <v>1</v>
      </c>
      <c r="AJ149">
        <v>6</v>
      </c>
      <c r="AK149">
        <v>22</v>
      </c>
      <c r="AL149">
        <v>24</v>
      </c>
      <c r="AM149">
        <v>1</v>
      </c>
      <c r="AN149" t="s">
        <v>769</v>
      </c>
      <c r="AO149" t="s">
        <v>769</v>
      </c>
    </row>
    <row r="150" spans="1:41" x14ac:dyDescent="0.25">
      <c r="A150" t="s">
        <v>643</v>
      </c>
      <c r="B150" t="s">
        <v>102</v>
      </c>
      <c r="C150" t="s">
        <v>644</v>
      </c>
      <c r="D150">
        <f>ROUND(
  (
    --SUBSTITUTE(LEFT(C150,19),"T"," ")
    - DATE(1970,1,1)
  ) * 86400000,
  0
)</f>
        <v>1757338368000</v>
      </c>
      <c r="E150" t="str">
        <f>LEFT(D150,10) &amp; "." &amp; RIGHT(D150,3)</f>
        <v>1757338368.000</v>
      </c>
      <c r="F150" s="3">
        <f>(((E150/60)/60)/24)+DATE(1970,1,1)</f>
        <v>45908.564444444448</v>
      </c>
      <c r="G150" t="str">
        <f>_xlfn.XLOOKUP(
  WorkoutData[[#This Row],[gmailMessageId]],
  WorkoutData_old[gmailMessageId],
  WorkoutData_old[WorkoutType]
)</f>
        <v>3G</v>
      </c>
      <c r="H150" s="4">
        <v>0.3576388888888889</v>
      </c>
      <c r="I150" t="s">
        <v>436</v>
      </c>
      <c r="J150" t="s">
        <v>598</v>
      </c>
      <c r="K150">
        <v>809</v>
      </c>
      <c r="L150">
        <v>16</v>
      </c>
      <c r="M150">
        <v>149</v>
      </c>
      <c r="N150">
        <v>179</v>
      </c>
      <c r="O150">
        <v>4126</v>
      </c>
      <c r="P150">
        <v>1.68</v>
      </c>
      <c r="Q150">
        <v>889</v>
      </c>
      <c r="R150">
        <v>4.8</v>
      </c>
      <c r="S150">
        <v>10</v>
      </c>
      <c r="T150">
        <v>2</v>
      </c>
      <c r="U150">
        <v>9</v>
      </c>
      <c r="V150">
        <v>743</v>
      </c>
      <c r="W150">
        <v>360</v>
      </c>
      <c r="X150">
        <v>173.14</v>
      </c>
      <c r="Y150">
        <v>3653</v>
      </c>
      <c r="Z150">
        <v>795</v>
      </c>
      <c r="AA150">
        <v>8</v>
      </c>
      <c r="AB150">
        <v>418</v>
      </c>
      <c r="AC150">
        <v>17.399999999999999</v>
      </c>
      <c r="AD150">
        <v>20.8</v>
      </c>
      <c r="AE150">
        <v>104</v>
      </c>
      <c r="AF150">
        <v>86</v>
      </c>
      <c r="AG150">
        <v>28.7</v>
      </c>
      <c r="AH150">
        <v>56</v>
      </c>
      <c r="AI150">
        <v>7</v>
      </c>
      <c r="AJ150">
        <v>6</v>
      </c>
      <c r="AK150">
        <v>27</v>
      </c>
      <c r="AL150">
        <v>16</v>
      </c>
      <c r="AM150">
        <v>0</v>
      </c>
      <c r="AN150" t="s">
        <v>645</v>
      </c>
      <c r="AO150" t="s">
        <v>645</v>
      </c>
    </row>
    <row r="151" spans="1:41" x14ac:dyDescent="0.25">
      <c r="A151" t="s">
        <v>463</v>
      </c>
      <c r="B151" t="s">
        <v>100</v>
      </c>
      <c r="C151" t="s">
        <v>464</v>
      </c>
      <c r="D151">
        <f>ROUND(
  (
    --SUBSTITUTE(LEFT(C151,19),"T"," ")
    - DATE(1970,1,1)
  ) * 86400000,
  0
)</f>
        <v>1757683964000</v>
      </c>
      <c r="E151" t="str">
        <f>LEFT(D151,10) &amp; "." &amp; RIGHT(D151,3)</f>
        <v>1757683964.000</v>
      </c>
      <c r="F151" s="3">
        <f>(((E151/60)/60)/24)+DATE(1970,1,1)</f>
        <v>45912.564398148148</v>
      </c>
      <c r="G151" t="str">
        <f>_xlfn.XLOOKUP(
  WorkoutData[[#This Row],[gmailMessageId]],
  WorkoutData_old[gmailMessageId],
  WorkoutData_old[WorkoutType]
)</f>
        <v>3G</v>
      </c>
      <c r="H151" s="4">
        <v>0.3576388888888889</v>
      </c>
      <c r="I151" t="s">
        <v>436</v>
      </c>
      <c r="J151" t="s">
        <v>437</v>
      </c>
      <c r="K151">
        <v>665</v>
      </c>
      <c r="L151">
        <v>14</v>
      </c>
      <c r="M151">
        <v>134</v>
      </c>
      <c r="N151">
        <v>187</v>
      </c>
      <c r="O151">
        <v>2927</v>
      </c>
      <c r="P151">
        <v>1.57</v>
      </c>
      <c r="Q151">
        <v>996</v>
      </c>
      <c r="R151">
        <v>4.8</v>
      </c>
      <c r="S151">
        <v>10</v>
      </c>
      <c r="T151">
        <v>5.6</v>
      </c>
      <c r="U151">
        <v>15</v>
      </c>
      <c r="V151">
        <v>749</v>
      </c>
      <c r="W151">
        <v>360</v>
      </c>
      <c r="X151">
        <v>468.01</v>
      </c>
      <c r="Y151">
        <v>2742</v>
      </c>
      <c r="Z151">
        <v>814</v>
      </c>
      <c r="AA151">
        <v>7</v>
      </c>
      <c r="AB151">
        <v>392</v>
      </c>
      <c r="AC151">
        <v>17.2</v>
      </c>
      <c r="AD151">
        <v>20.9</v>
      </c>
      <c r="AE151">
        <v>107</v>
      </c>
      <c r="AF151">
        <v>86</v>
      </c>
      <c r="AG151">
        <v>25.1</v>
      </c>
      <c r="AH151">
        <v>54</v>
      </c>
      <c r="AI151">
        <v>20</v>
      </c>
      <c r="AJ151">
        <v>3</v>
      </c>
      <c r="AK151">
        <v>17</v>
      </c>
      <c r="AL151">
        <v>9</v>
      </c>
      <c r="AM151">
        <v>5</v>
      </c>
      <c r="AN151" t="s">
        <v>465</v>
      </c>
      <c r="AO151" t="s">
        <v>465</v>
      </c>
    </row>
    <row r="152" spans="1:41" x14ac:dyDescent="0.25">
      <c r="A152" t="s">
        <v>753</v>
      </c>
      <c r="B152" t="s">
        <v>98</v>
      </c>
      <c r="C152" t="s">
        <v>754</v>
      </c>
      <c r="D152">
        <f>ROUND(
  (
    --SUBSTITUTE(LEFT(C152,19),"T"," ")
    - DATE(1970,1,1)
  ) * 86400000,
  0
)</f>
        <v>1757943166000</v>
      </c>
      <c r="E152" t="str">
        <f>LEFT(D152,10) &amp; "." &amp; RIGHT(D152,3)</f>
        <v>1757943166.000</v>
      </c>
      <c r="F152" s="3">
        <f>(((E152/60)/60)/24)+DATE(1970,1,1)</f>
        <v>45915.564421296294</v>
      </c>
      <c r="G152" t="str">
        <f>_xlfn.XLOOKUP(
  WorkoutData[[#This Row],[gmailMessageId]],
  WorkoutData_old[gmailMessageId],
  WorkoutData_old[WorkoutType]
)</f>
        <v>3G</v>
      </c>
      <c r="H152" s="4">
        <v>0.3576388888888889</v>
      </c>
      <c r="I152" t="s">
        <v>436</v>
      </c>
      <c r="J152" t="s">
        <v>437</v>
      </c>
      <c r="K152">
        <v>852</v>
      </c>
      <c r="L152">
        <v>14</v>
      </c>
      <c r="M152">
        <v>152</v>
      </c>
      <c r="N152">
        <v>191</v>
      </c>
      <c r="O152">
        <v>4130</v>
      </c>
      <c r="P152">
        <v>2.14</v>
      </c>
      <c r="Q152">
        <v>1018</v>
      </c>
      <c r="R152">
        <v>7.4</v>
      </c>
      <c r="S152">
        <v>12</v>
      </c>
      <c r="T152">
        <v>0.8</v>
      </c>
      <c r="U152">
        <v>1</v>
      </c>
      <c r="V152">
        <v>487</v>
      </c>
      <c r="W152">
        <v>300</v>
      </c>
      <c r="X152">
        <v>93.2</v>
      </c>
      <c r="Y152">
        <v>3494</v>
      </c>
      <c r="Z152">
        <v>943</v>
      </c>
      <c r="AA152">
        <v>1</v>
      </c>
      <c r="AB152">
        <v>401</v>
      </c>
      <c r="AC152">
        <v>16.5</v>
      </c>
      <c r="AD152">
        <v>21.2</v>
      </c>
      <c r="AE152">
        <v>115</v>
      </c>
      <c r="AF152">
        <v>84</v>
      </c>
      <c r="AG152">
        <v>28.9</v>
      </c>
      <c r="AH152">
        <v>57</v>
      </c>
      <c r="AI152">
        <v>4</v>
      </c>
      <c r="AJ152">
        <v>7</v>
      </c>
      <c r="AK152">
        <v>32</v>
      </c>
      <c r="AL152">
        <v>10</v>
      </c>
      <c r="AM152">
        <v>4</v>
      </c>
      <c r="AN152" t="s">
        <v>755</v>
      </c>
      <c r="AO152" t="s">
        <v>755</v>
      </c>
    </row>
    <row r="153" spans="1:41" x14ac:dyDescent="0.25">
      <c r="A153" t="s">
        <v>1023</v>
      </c>
      <c r="B153" t="s">
        <v>96</v>
      </c>
      <c r="C153" t="s">
        <v>1024</v>
      </c>
      <c r="D153">
        <f>ROUND(
  (
    --SUBSTITUTE(LEFT(C153,19),"T"," ")
    - DATE(1970,1,1)
  ) * 86400000,
  0
)</f>
        <v>1758289065000</v>
      </c>
      <c r="E153" t="str">
        <f>LEFT(D153,10) &amp; "." &amp; RIGHT(D153,3)</f>
        <v>1758289065.000</v>
      </c>
      <c r="F153" s="3">
        <f>(((E153/60)/60)/24)+DATE(1970,1,1)</f>
        <v>45919.567881944444</v>
      </c>
      <c r="G153" t="str">
        <f>_xlfn.XLOOKUP(
  WorkoutData[[#This Row],[gmailMessageId]],
  WorkoutData_old[gmailMessageId],
  WorkoutData_old[WorkoutType]
)</f>
        <v>3G</v>
      </c>
      <c r="H153" s="4">
        <v>0.3576388888888889</v>
      </c>
      <c r="I153" t="s">
        <v>436</v>
      </c>
      <c r="J153" t="s">
        <v>437</v>
      </c>
      <c r="K153">
        <v>957</v>
      </c>
      <c r="L153">
        <v>30</v>
      </c>
      <c r="M153">
        <v>161</v>
      </c>
      <c r="N153">
        <v>187</v>
      </c>
      <c r="O153">
        <v>4129</v>
      </c>
      <c r="P153">
        <v>1.95</v>
      </c>
      <c r="Q153">
        <v>1029</v>
      </c>
      <c r="R153">
        <v>5.8</v>
      </c>
      <c r="S153">
        <v>11</v>
      </c>
      <c r="T153">
        <v>1</v>
      </c>
      <c r="U153">
        <v>1</v>
      </c>
      <c r="V153">
        <v>618</v>
      </c>
      <c r="W153">
        <v>327</v>
      </c>
      <c r="X153">
        <v>103.06</v>
      </c>
      <c r="Y153">
        <v>2751</v>
      </c>
      <c r="Z153">
        <v>629</v>
      </c>
      <c r="AA153">
        <v>1</v>
      </c>
      <c r="AB153">
        <v>481</v>
      </c>
      <c r="AC153">
        <v>12.3</v>
      </c>
      <c r="AD153">
        <v>22.7</v>
      </c>
      <c r="AE153">
        <v>104</v>
      </c>
      <c r="AF153">
        <v>79</v>
      </c>
      <c r="AG153">
        <v>28.5</v>
      </c>
      <c r="AH153">
        <v>59</v>
      </c>
      <c r="AI153">
        <v>2</v>
      </c>
      <c r="AJ153">
        <v>4</v>
      </c>
      <c r="AK153">
        <v>23</v>
      </c>
      <c r="AL153">
        <v>29</v>
      </c>
      <c r="AM153">
        <v>1</v>
      </c>
      <c r="AN153" t="s">
        <v>1025</v>
      </c>
      <c r="AO153" t="s">
        <v>1025</v>
      </c>
    </row>
    <row r="154" spans="1:41" x14ac:dyDescent="0.25">
      <c r="A154" t="s">
        <v>857</v>
      </c>
      <c r="B154" t="s">
        <v>94</v>
      </c>
      <c r="C154" t="s">
        <v>858</v>
      </c>
      <c r="D154">
        <f>ROUND(
  (
    --SUBSTITUTE(LEFT(C154,19),"T"," ")
    - DATE(1970,1,1)
  ) * 86400000,
  0
)</f>
        <v>1758473865000</v>
      </c>
      <c r="E154" t="str">
        <f>LEFT(D154,10) &amp; "." &amp; RIGHT(D154,3)</f>
        <v>1758473865.000</v>
      </c>
      <c r="F154" s="3">
        <f>(((E154/60)/60)/24)+DATE(1970,1,1)</f>
        <v>45921.706770833334</v>
      </c>
      <c r="G154" t="str">
        <f>_xlfn.XLOOKUP(
  WorkoutData[[#This Row],[gmailMessageId]],
  WorkoutData_old[gmailMessageId],
  WorkoutData_old[WorkoutType]
)</f>
        <v>DriTri</v>
      </c>
      <c r="H154" s="4">
        <v>0.5</v>
      </c>
      <c r="I154" t="s">
        <v>436</v>
      </c>
      <c r="J154" t="s">
        <v>606</v>
      </c>
      <c r="K154">
        <v>882</v>
      </c>
      <c r="L154">
        <v>40</v>
      </c>
      <c r="M154">
        <v>172</v>
      </c>
      <c r="N154">
        <v>192</v>
      </c>
      <c r="O154">
        <v>5240</v>
      </c>
      <c r="P154">
        <v>3.1</v>
      </c>
      <c r="Q154">
        <v>1365</v>
      </c>
      <c r="R154">
        <v>8.1</v>
      </c>
      <c r="S154">
        <v>12</v>
      </c>
      <c r="T154">
        <v>1</v>
      </c>
      <c r="U154">
        <v>1</v>
      </c>
      <c r="V154">
        <v>442</v>
      </c>
      <c r="W154">
        <v>300</v>
      </c>
      <c r="X154">
        <v>163.30000000000001</v>
      </c>
      <c r="Y154">
        <v>2000</v>
      </c>
      <c r="Z154">
        <v>428</v>
      </c>
      <c r="AA154">
        <v>4</v>
      </c>
      <c r="AB154">
        <v>448</v>
      </c>
      <c r="AC154">
        <v>16.7</v>
      </c>
      <c r="AD154">
        <v>21.2</v>
      </c>
      <c r="AE154">
        <v>107</v>
      </c>
      <c r="AF154">
        <v>84</v>
      </c>
      <c r="AG154">
        <v>29.8</v>
      </c>
      <c r="AH154">
        <v>49</v>
      </c>
      <c r="AI154">
        <v>1</v>
      </c>
      <c r="AJ154">
        <v>4</v>
      </c>
      <c r="AK154">
        <v>4</v>
      </c>
      <c r="AL154">
        <v>27</v>
      </c>
      <c r="AM154">
        <v>13</v>
      </c>
      <c r="AN154" t="s">
        <v>859</v>
      </c>
      <c r="AO154" t="s">
        <v>859</v>
      </c>
    </row>
    <row r="155" spans="1:41" x14ac:dyDescent="0.25">
      <c r="A155" t="s">
        <v>932</v>
      </c>
      <c r="B155" t="s">
        <v>92</v>
      </c>
      <c r="C155" t="s">
        <v>933</v>
      </c>
      <c r="D155">
        <f>ROUND(
  (
    --SUBSTITUTE(LEFT(C155,19),"T"," ")
    - DATE(1970,1,1)
  ) * 86400000,
  0
)</f>
        <v>1758803320000</v>
      </c>
      <c r="E155" t="str">
        <f>LEFT(D155,10) &amp; "." &amp; RIGHT(D155,3)</f>
        <v>1758803320.000</v>
      </c>
      <c r="F155" s="3">
        <f>(((E155/60)/60)/24)+DATE(1970,1,1)</f>
        <v>45925.519907407404</v>
      </c>
      <c r="G155" t="str">
        <f>_xlfn.XLOOKUP(
  WorkoutData[[#This Row],[gmailMessageId]],
  WorkoutData_old[gmailMessageId],
  WorkoutData_old[WorkoutType]
)</f>
        <v>2G</v>
      </c>
      <c r="H155" s="4">
        <v>0.3125</v>
      </c>
      <c r="I155" t="s">
        <v>436</v>
      </c>
      <c r="J155" t="s">
        <v>505</v>
      </c>
      <c r="K155">
        <v>914</v>
      </c>
      <c r="L155">
        <v>26</v>
      </c>
      <c r="M155">
        <v>157</v>
      </c>
      <c r="N155">
        <v>185</v>
      </c>
      <c r="O155">
        <v>4645</v>
      </c>
      <c r="P155">
        <v>2.91</v>
      </c>
      <c r="Q155">
        <v>1611</v>
      </c>
      <c r="R155">
        <v>6.5</v>
      </c>
      <c r="S155">
        <v>11.1</v>
      </c>
      <c r="T155">
        <v>1</v>
      </c>
      <c r="U155">
        <v>1</v>
      </c>
      <c r="V155">
        <v>552</v>
      </c>
      <c r="W155">
        <v>324</v>
      </c>
      <c r="X155">
        <v>153.81</v>
      </c>
      <c r="Y155">
        <v>2089</v>
      </c>
      <c r="Z155">
        <v>566</v>
      </c>
      <c r="AA155">
        <v>2</v>
      </c>
      <c r="AB155">
        <v>575</v>
      </c>
      <c r="AC155">
        <v>18.399999999999999</v>
      </c>
      <c r="AD155">
        <v>23.5</v>
      </c>
      <c r="AE155">
        <v>100</v>
      </c>
      <c r="AF155">
        <v>76</v>
      </c>
      <c r="AG155">
        <v>30.6</v>
      </c>
      <c r="AH155">
        <v>58</v>
      </c>
      <c r="AI155">
        <v>4</v>
      </c>
      <c r="AJ155">
        <v>4</v>
      </c>
      <c r="AK155">
        <v>24</v>
      </c>
      <c r="AL155">
        <v>22</v>
      </c>
      <c r="AM155">
        <v>4</v>
      </c>
      <c r="AN155" t="s">
        <v>934</v>
      </c>
      <c r="AO155" t="s">
        <v>934</v>
      </c>
    </row>
    <row r="156" spans="1:41" x14ac:dyDescent="0.25">
      <c r="A156" t="s">
        <v>810</v>
      </c>
      <c r="B156" t="s">
        <v>90</v>
      </c>
      <c r="C156" t="s">
        <v>811</v>
      </c>
      <c r="D156">
        <f>ROUND(
  (
    --SUBSTITUTE(LEFT(C156,19),"T"," ")
    - DATE(1970,1,1)
  ) * 86400000,
  0
)</f>
        <v>1758897766000</v>
      </c>
      <c r="E156" t="str">
        <f>LEFT(D156,10) &amp; "." &amp; RIGHT(D156,3)</f>
        <v>1758897766.000</v>
      </c>
      <c r="F156" s="3">
        <f>(((E156/60)/60)/24)+DATE(1970,1,1)</f>
        <v>45926.613032407404</v>
      </c>
      <c r="G156" t="str">
        <f>_xlfn.XLOOKUP(
  WorkoutData[[#This Row],[gmailMessageId]],
  WorkoutData_old[gmailMessageId],
  WorkoutData_old[WorkoutType]
)</f>
        <v>2G</v>
      </c>
      <c r="H156" s="4">
        <v>0.40625</v>
      </c>
      <c r="I156" t="s">
        <v>436</v>
      </c>
      <c r="J156" t="s">
        <v>437</v>
      </c>
      <c r="K156">
        <v>867</v>
      </c>
      <c r="L156">
        <v>26</v>
      </c>
      <c r="M156">
        <v>158</v>
      </c>
      <c r="N156">
        <v>187</v>
      </c>
      <c r="O156">
        <v>4417</v>
      </c>
      <c r="P156">
        <v>3.04</v>
      </c>
      <c r="Q156">
        <v>1503</v>
      </c>
      <c r="R156">
        <v>6.7</v>
      </c>
      <c r="S156">
        <v>12</v>
      </c>
      <c r="T156">
        <v>1</v>
      </c>
      <c r="U156">
        <v>1</v>
      </c>
      <c r="V156">
        <v>540</v>
      </c>
      <c r="W156">
        <v>300</v>
      </c>
      <c r="X156">
        <v>160.59</v>
      </c>
      <c r="Y156">
        <v>1920</v>
      </c>
      <c r="Z156">
        <v>461</v>
      </c>
      <c r="AA156">
        <v>255</v>
      </c>
      <c r="AB156">
        <v>445</v>
      </c>
      <c r="AC156">
        <v>18</v>
      </c>
      <c r="AD156">
        <v>21.5</v>
      </c>
      <c r="AE156">
        <v>100</v>
      </c>
      <c r="AF156">
        <v>83</v>
      </c>
      <c r="AG156">
        <v>30.6</v>
      </c>
      <c r="AH156">
        <v>56</v>
      </c>
      <c r="AI156">
        <v>3</v>
      </c>
      <c r="AJ156">
        <v>7</v>
      </c>
      <c r="AK156">
        <v>20</v>
      </c>
      <c r="AL156">
        <v>21</v>
      </c>
      <c r="AM156">
        <v>5</v>
      </c>
      <c r="AN156" t="s">
        <v>812</v>
      </c>
      <c r="AO156" t="s">
        <v>812</v>
      </c>
    </row>
    <row r="157" spans="1:41" x14ac:dyDescent="0.25">
      <c r="A157" t="s">
        <v>443</v>
      </c>
      <c r="B157" t="s">
        <v>88</v>
      </c>
      <c r="C157" t="s">
        <v>444</v>
      </c>
      <c r="D157">
        <f>ROUND(
  (
    --SUBSTITUTE(LEFT(C157,19),"T"," ")
    - DATE(1970,1,1)
  ) * 86400000,
  0
)</f>
        <v>1759148185000</v>
      </c>
      <c r="E157" t="str">
        <f>LEFT(D157,10) &amp; "." &amp; RIGHT(D157,3)</f>
        <v>1759148185.000</v>
      </c>
      <c r="F157" s="3">
        <f>(((E157/60)/60)/24)+DATE(1970,1,1)</f>
        <v>45929.511400462965</v>
      </c>
      <c r="G157" t="str">
        <f>_xlfn.XLOOKUP(
  WorkoutData[[#This Row],[gmailMessageId]],
  WorkoutData_old[gmailMessageId],
  WorkoutData_old[WorkoutType]
)</f>
        <v>Strength (Upper)</v>
      </c>
      <c r="H157" s="4">
        <v>0.3125</v>
      </c>
      <c r="I157" t="s">
        <v>436</v>
      </c>
      <c r="J157" t="s">
        <v>437</v>
      </c>
      <c r="K157">
        <v>344</v>
      </c>
      <c r="L157">
        <v>0</v>
      </c>
      <c r="M157">
        <v>107</v>
      </c>
      <c r="N157">
        <v>152</v>
      </c>
      <c r="O157">
        <v>425</v>
      </c>
      <c r="AH157">
        <v>42</v>
      </c>
      <c r="AI157">
        <v>29</v>
      </c>
      <c r="AJ157">
        <v>10</v>
      </c>
      <c r="AK157">
        <v>3</v>
      </c>
      <c r="AL157">
        <v>0</v>
      </c>
      <c r="AM157">
        <v>0</v>
      </c>
      <c r="AN157" t="s">
        <v>445</v>
      </c>
      <c r="AO157" t="s">
        <v>445</v>
      </c>
    </row>
    <row r="158" spans="1:41" x14ac:dyDescent="0.25">
      <c r="A158" t="s">
        <v>848</v>
      </c>
      <c r="B158" t="s">
        <v>86</v>
      </c>
      <c r="C158" t="s">
        <v>849</v>
      </c>
      <c r="D158">
        <f>ROUND(
  (
    --SUBSTITUTE(LEFT(C158,19),"T"," ")
    - DATE(1970,1,1)
  ) * 86400000,
  0
)</f>
        <v>1759321689000</v>
      </c>
      <c r="E158" t="str">
        <f>LEFT(D158,10) &amp; "." &amp; RIGHT(D158,3)</f>
        <v>1759321689.000</v>
      </c>
      <c r="F158" s="3">
        <f>(((E158/60)/60)/24)+DATE(1970,1,1)</f>
        <v>45931.519548611104</v>
      </c>
      <c r="G158" t="str">
        <f>_xlfn.XLOOKUP(
  WorkoutData[[#This Row],[gmailMessageId]],
  WorkoutData_old[gmailMessageId],
  WorkoutData_old[WorkoutType]
)</f>
        <v>2G</v>
      </c>
      <c r="H158" s="4">
        <v>0.3125</v>
      </c>
      <c r="I158" t="s">
        <v>436</v>
      </c>
      <c r="J158" t="s">
        <v>689</v>
      </c>
      <c r="K158">
        <v>876</v>
      </c>
      <c r="L158">
        <v>20</v>
      </c>
      <c r="M158">
        <v>157</v>
      </c>
      <c r="N158">
        <v>187</v>
      </c>
      <c r="O158">
        <v>4673</v>
      </c>
      <c r="P158">
        <v>3.61</v>
      </c>
      <c r="Q158">
        <v>1732</v>
      </c>
      <c r="R158">
        <v>6.8</v>
      </c>
      <c r="S158">
        <v>9</v>
      </c>
      <c r="T158">
        <v>1.5</v>
      </c>
      <c r="U158">
        <v>4</v>
      </c>
      <c r="V158">
        <v>530</v>
      </c>
      <c r="W158">
        <v>400</v>
      </c>
      <c r="X158">
        <v>282.19</v>
      </c>
      <c r="AH158">
        <v>56</v>
      </c>
      <c r="AI158">
        <v>1</v>
      </c>
      <c r="AJ158">
        <v>8</v>
      </c>
      <c r="AK158">
        <v>27</v>
      </c>
      <c r="AL158">
        <v>14</v>
      </c>
      <c r="AM158">
        <v>6</v>
      </c>
      <c r="AN158" t="s">
        <v>850</v>
      </c>
      <c r="AO158" t="s">
        <v>850</v>
      </c>
    </row>
    <row r="159" spans="1:41" x14ac:dyDescent="0.25">
      <c r="A159" t="s">
        <v>900</v>
      </c>
      <c r="B159" t="s">
        <v>84</v>
      </c>
      <c r="C159" t="s">
        <v>901</v>
      </c>
      <c r="D159">
        <f>ROUND(
  (
    --SUBSTITUTE(LEFT(C159,19),"T"," ")
    - DATE(1970,1,1)
  ) * 86400000,
  0
)</f>
        <v>1759926561000</v>
      </c>
      <c r="E159" t="str">
        <f>LEFT(D159,10) &amp; "." &amp; RIGHT(D159,3)</f>
        <v>1759926561.000</v>
      </c>
      <c r="F159" s="3">
        <f>(((E159/60)/60)/24)+DATE(1970,1,1)</f>
        <v>45938.520381944443</v>
      </c>
      <c r="G159" t="str">
        <f>_xlfn.XLOOKUP(
  WorkoutData[[#This Row],[gmailMessageId]],
  WorkoutData_old[gmailMessageId],
  WorkoutData_old[WorkoutType]
)</f>
        <v>2G</v>
      </c>
      <c r="H159" s="4">
        <v>0.3125</v>
      </c>
      <c r="I159" t="s">
        <v>436</v>
      </c>
      <c r="J159" t="s">
        <v>689</v>
      </c>
      <c r="K159">
        <v>898</v>
      </c>
      <c r="L159">
        <v>17</v>
      </c>
      <c r="M159">
        <v>155</v>
      </c>
      <c r="N159">
        <v>187</v>
      </c>
      <c r="O159">
        <v>5026</v>
      </c>
      <c r="P159">
        <v>2.94</v>
      </c>
      <c r="Q159">
        <v>1484</v>
      </c>
      <c r="R159">
        <v>5.9</v>
      </c>
      <c r="S159">
        <v>10</v>
      </c>
      <c r="T159">
        <v>1</v>
      </c>
      <c r="U159">
        <v>1</v>
      </c>
      <c r="V159">
        <v>607</v>
      </c>
      <c r="W159">
        <v>360</v>
      </c>
      <c r="X159">
        <v>154.83000000000001</v>
      </c>
      <c r="Y159">
        <v>2551</v>
      </c>
      <c r="Z159">
        <v>607</v>
      </c>
      <c r="AA159">
        <v>1</v>
      </c>
      <c r="AB159">
        <v>576</v>
      </c>
      <c r="AC159">
        <v>16.7</v>
      </c>
      <c r="AD159">
        <v>22.8</v>
      </c>
      <c r="AE159">
        <v>111</v>
      </c>
      <c r="AF159">
        <v>79</v>
      </c>
      <c r="AG159">
        <v>30</v>
      </c>
      <c r="AH159">
        <v>58</v>
      </c>
      <c r="AI159">
        <v>2</v>
      </c>
      <c r="AJ159">
        <v>8</v>
      </c>
      <c r="AK159">
        <v>31</v>
      </c>
      <c r="AL159">
        <v>15</v>
      </c>
      <c r="AM159">
        <v>2</v>
      </c>
      <c r="AN159" t="s">
        <v>902</v>
      </c>
      <c r="AO159" t="s">
        <v>902</v>
      </c>
    </row>
    <row r="160" spans="1:41" x14ac:dyDescent="0.25">
      <c r="A160" t="s">
        <v>1006</v>
      </c>
      <c r="B160" t="s">
        <v>82</v>
      </c>
      <c r="C160" t="s">
        <v>1007</v>
      </c>
      <c r="D160">
        <f>ROUND(
  (
    --SUBSTITUTE(LEFT(C160,19),"T"," ")
    - DATE(1970,1,1)
  ) * 86400000,
  0
)</f>
        <v>1760103186000</v>
      </c>
      <c r="E160" t="str">
        <f>LEFT(D160,10) &amp; "." &amp; RIGHT(D160,3)</f>
        <v>1760103186.000</v>
      </c>
      <c r="F160" s="3">
        <f>(((E160/60)/60)/24)+DATE(1970,1,1)</f>
        <v>45940.564652777779</v>
      </c>
      <c r="G160" t="str">
        <f>_xlfn.XLOOKUP(
  WorkoutData[[#This Row],[gmailMessageId]],
  WorkoutData_old[gmailMessageId],
  WorkoutData_old[WorkoutType]
)</f>
        <v>3G</v>
      </c>
      <c r="H160" s="4">
        <v>0.3576388888888889</v>
      </c>
      <c r="I160" t="s">
        <v>436</v>
      </c>
      <c r="J160" t="s">
        <v>437</v>
      </c>
      <c r="K160">
        <v>947</v>
      </c>
      <c r="L160">
        <v>30</v>
      </c>
      <c r="M160">
        <v>163</v>
      </c>
      <c r="N160">
        <v>183</v>
      </c>
      <c r="O160">
        <v>3945</v>
      </c>
      <c r="P160">
        <v>1.9</v>
      </c>
      <c r="Q160">
        <v>990</v>
      </c>
      <c r="R160">
        <v>5.9</v>
      </c>
      <c r="S160">
        <v>10</v>
      </c>
      <c r="T160">
        <v>1</v>
      </c>
      <c r="U160">
        <v>1</v>
      </c>
      <c r="V160">
        <v>612</v>
      </c>
      <c r="W160">
        <v>360</v>
      </c>
      <c r="X160">
        <v>100.31</v>
      </c>
      <c r="Y160">
        <v>3972</v>
      </c>
      <c r="Z160">
        <v>992</v>
      </c>
      <c r="AA160">
        <v>5</v>
      </c>
      <c r="AB160">
        <v>429</v>
      </c>
      <c r="AC160">
        <v>16.899999999999999</v>
      </c>
      <c r="AD160">
        <v>21</v>
      </c>
      <c r="AE160">
        <v>112</v>
      </c>
      <c r="AF160">
        <v>85</v>
      </c>
      <c r="AG160">
        <v>28.2</v>
      </c>
      <c r="AH160">
        <v>57</v>
      </c>
      <c r="AI160">
        <v>0</v>
      </c>
      <c r="AJ160">
        <v>3</v>
      </c>
      <c r="AK160">
        <v>24</v>
      </c>
      <c r="AL160">
        <v>27</v>
      </c>
      <c r="AM160">
        <v>3</v>
      </c>
      <c r="AN160" t="s">
        <v>1008</v>
      </c>
      <c r="AO160" t="s">
        <v>1008</v>
      </c>
    </row>
    <row r="161" spans="1:41" x14ac:dyDescent="0.25">
      <c r="A161" t="s">
        <v>503</v>
      </c>
      <c r="B161" t="s">
        <v>80</v>
      </c>
      <c r="C161" t="s">
        <v>504</v>
      </c>
      <c r="D161">
        <f>ROUND(
  (
    --SUBSTITUTE(LEFT(C161,19),"T"," ")
    - DATE(1970,1,1)
  ) * 86400000,
  0
)</f>
        <v>1760448764000</v>
      </c>
      <c r="E161" t="str">
        <f>LEFT(D161,10) &amp; "." &amp; RIGHT(D161,3)</f>
        <v>1760448764.000</v>
      </c>
      <c r="F161" s="3">
        <f>(((E161/60)/60)/24)+DATE(1970,1,1)</f>
        <v>45944.564398148148</v>
      </c>
      <c r="G161" t="str">
        <f>_xlfn.XLOOKUP(
  WorkoutData[[#This Row],[gmailMessageId]],
  WorkoutData_old[gmailMessageId],
  WorkoutData_old[WorkoutType]
)</f>
        <v>2G</v>
      </c>
      <c r="H161" s="4">
        <v>0.3576388888888889</v>
      </c>
      <c r="I161" t="s">
        <v>436</v>
      </c>
      <c r="J161" t="s">
        <v>505</v>
      </c>
      <c r="K161">
        <v>723</v>
      </c>
      <c r="L161">
        <v>22</v>
      </c>
      <c r="M161">
        <v>142</v>
      </c>
      <c r="N161">
        <v>189</v>
      </c>
      <c r="O161">
        <v>4253</v>
      </c>
      <c r="P161">
        <v>3.49</v>
      </c>
      <c r="Q161">
        <v>1500</v>
      </c>
      <c r="R161">
        <v>7.9</v>
      </c>
      <c r="S161">
        <v>10.5</v>
      </c>
      <c r="T161">
        <v>1</v>
      </c>
      <c r="U161">
        <v>1</v>
      </c>
      <c r="V161">
        <v>452</v>
      </c>
      <c r="W161">
        <v>342</v>
      </c>
      <c r="X161">
        <v>184.06</v>
      </c>
      <c r="Y161">
        <v>154</v>
      </c>
      <c r="Z161">
        <v>194</v>
      </c>
      <c r="AA161">
        <v>1</v>
      </c>
      <c r="AB161">
        <v>244</v>
      </c>
      <c r="AC161">
        <v>15.2</v>
      </c>
      <c r="AD161">
        <v>17.8</v>
      </c>
      <c r="AE161">
        <v>119</v>
      </c>
      <c r="AF161">
        <v>101</v>
      </c>
      <c r="AG161">
        <v>26.3</v>
      </c>
      <c r="AH161">
        <v>53</v>
      </c>
      <c r="AI161">
        <v>17</v>
      </c>
      <c r="AJ161">
        <v>11</v>
      </c>
      <c r="AK161">
        <v>3</v>
      </c>
      <c r="AL161">
        <v>7</v>
      </c>
      <c r="AM161">
        <v>15</v>
      </c>
      <c r="AN161" t="s">
        <v>506</v>
      </c>
      <c r="AO161" t="s">
        <v>506</v>
      </c>
    </row>
    <row r="162" spans="1:41" x14ac:dyDescent="0.25">
      <c r="A162" t="s">
        <v>481</v>
      </c>
      <c r="B162" t="s">
        <v>78</v>
      </c>
      <c r="C162" t="s">
        <v>482</v>
      </c>
      <c r="D162">
        <f>ROUND(
  (
    --SUBSTITUTE(LEFT(C162,19),"T"," ")
    - DATE(1970,1,1)
  ) * 86400000,
  0
)</f>
        <v>1761034367000</v>
      </c>
      <c r="E162" t="str">
        <f>LEFT(D162,10) &amp; "." &amp; RIGHT(D162,3)</f>
        <v>1761034367.000</v>
      </c>
      <c r="F162" s="3">
        <f>(((E162/60)/60)/24)+DATE(1970,1,1)</f>
        <v>45951.342210648145</v>
      </c>
      <c r="G162" t="str">
        <f>_xlfn.XLOOKUP(
  WorkoutData[[#This Row],[gmailMessageId]],
  WorkoutData_old[gmailMessageId],
  WorkoutData_old[WorkoutType]
)</f>
        <v>Tread 50</v>
      </c>
      <c r="H162" s="4">
        <v>0.3125</v>
      </c>
      <c r="I162" t="s">
        <v>436</v>
      </c>
      <c r="J162" t="s">
        <v>437</v>
      </c>
      <c r="K162">
        <v>678</v>
      </c>
      <c r="L162">
        <v>20</v>
      </c>
      <c r="M162">
        <v>157</v>
      </c>
      <c r="N162">
        <v>179</v>
      </c>
      <c r="O162">
        <v>5645</v>
      </c>
      <c r="P162">
        <v>4.68</v>
      </c>
      <c r="Q162">
        <v>2388</v>
      </c>
      <c r="R162">
        <v>6.6</v>
      </c>
      <c r="S162">
        <v>9.5</v>
      </c>
      <c r="T162">
        <v>1</v>
      </c>
      <c r="U162">
        <v>1</v>
      </c>
      <c r="V162">
        <v>546</v>
      </c>
      <c r="W162">
        <v>378</v>
      </c>
      <c r="X162">
        <v>247.21</v>
      </c>
      <c r="AH162">
        <v>42</v>
      </c>
      <c r="AI162">
        <v>1</v>
      </c>
      <c r="AJ162">
        <v>4</v>
      </c>
      <c r="AK162">
        <v>17</v>
      </c>
      <c r="AL162">
        <v>20</v>
      </c>
      <c r="AM162">
        <v>0</v>
      </c>
      <c r="AN162" t="s">
        <v>483</v>
      </c>
      <c r="AO162" t="s">
        <v>483</v>
      </c>
    </row>
    <row r="163" spans="1:41" x14ac:dyDescent="0.25">
      <c r="A163" t="s">
        <v>907</v>
      </c>
      <c r="B163" t="s">
        <v>76</v>
      </c>
      <c r="C163" t="s">
        <v>908</v>
      </c>
      <c r="D163">
        <f>ROUND(
  (
    --SUBSTITUTE(LEFT(C163,19),"T"," ")
    - DATE(1970,1,1)
  ) * 86400000,
  0
)</f>
        <v>1761313066000</v>
      </c>
      <c r="E163" t="str">
        <f>LEFT(D163,10) &amp; "." &amp; RIGHT(D163,3)</f>
        <v>1761313066.000</v>
      </c>
      <c r="F163" s="3">
        <f>(((E163/60)/60)/24)+DATE(1970,1,1)</f>
        <v>45954.567893518513</v>
      </c>
      <c r="G163" t="str">
        <f>_xlfn.XLOOKUP(
  WorkoutData[[#This Row],[gmailMessageId]],
  WorkoutData_old[gmailMessageId],
  WorkoutData_old[WorkoutType]
)</f>
        <v>3G</v>
      </c>
      <c r="H163" s="4">
        <v>0.3576388888888889</v>
      </c>
      <c r="I163" t="s">
        <v>436</v>
      </c>
      <c r="J163" t="s">
        <v>437</v>
      </c>
      <c r="K163">
        <v>901</v>
      </c>
      <c r="L163">
        <v>16</v>
      </c>
      <c r="M163">
        <v>154</v>
      </c>
      <c r="N163">
        <v>181</v>
      </c>
      <c r="O163">
        <v>3786</v>
      </c>
      <c r="P163">
        <v>1.87</v>
      </c>
      <c r="Q163">
        <v>876</v>
      </c>
      <c r="R163">
        <v>4.2</v>
      </c>
      <c r="S163">
        <v>11.9</v>
      </c>
      <c r="T163">
        <v>1</v>
      </c>
      <c r="U163">
        <v>6.5</v>
      </c>
      <c r="V163">
        <v>858</v>
      </c>
      <c r="W163">
        <v>302</v>
      </c>
      <c r="X163">
        <v>102.49</v>
      </c>
      <c r="AH163">
        <v>59</v>
      </c>
      <c r="AI163">
        <v>1</v>
      </c>
      <c r="AJ163">
        <v>5</v>
      </c>
      <c r="AK163">
        <v>37</v>
      </c>
      <c r="AL163">
        <v>16</v>
      </c>
      <c r="AM163">
        <v>0</v>
      </c>
      <c r="AN163" t="s">
        <v>909</v>
      </c>
      <c r="AO163" t="s">
        <v>909</v>
      </c>
    </row>
    <row r="164" spans="1:41" x14ac:dyDescent="0.25">
      <c r="A164" t="s">
        <v>700</v>
      </c>
      <c r="B164" t="s">
        <v>74</v>
      </c>
      <c r="C164" t="s">
        <v>701</v>
      </c>
      <c r="D164">
        <f>ROUND(
  (
    --SUBSTITUTE(LEFT(C164,19),"T"," ")
    - DATE(1970,1,1)
  ) * 86400000,
  0
)</f>
        <v>1761740957000</v>
      </c>
      <c r="E164" t="str">
        <f>LEFT(D164,10) &amp; "." &amp; RIGHT(D164,3)</f>
        <v>1761740957.000</v>
      </c>
      <c r="F164" s="3">
        <f>(((E164/60)/60)/24)+DATE(1970,1,1)</f>
        <v>45959.520335648151</v>
      </c>
      <c r="G164" t="str">
        <f>_xlfn.XLOOKUP(
  WorkoutData[[#This Row],[gmailMessageId]],
  WorkoutData_old[gmailMessageId],
  WorkoutData_old[WorkoutType]
)</f>
        <v>2G</v>
      </c>
      <c r="H164" s="4">
        <v>0.3125</v>
      </c>
      <c r="I164" t="s">
        <v>436</v>
      </c>
      <c r="J164" t="s">
        <v>689</v>
      </c>
      <c r="K164">
        <v>838</v>
      </c>
      <c r="L164">
        <v>22</v>
      </c>
      <c r="M164">
        <v>154</v>
      </c>
      <c r="N164">
        <v>184</v>
      </c>
      <c r="O164">
        <v>4387</v>
      </c>
      <c r="P164">
        <v>3.02</v>
      </c>
      <c r="Q164">
        <v>1581</v>
      </c>
      <c r="R164">
        <v>6.5</v>
      </c>
      <c r="S164">
        <v>10</v>
      </c>
      <c r="T164">
        <v>1</v>
      </c>
      <c r="U164">
        <v>1</v>
      </c>
      <c r="V164">
        <v>555</v>
      </c>
      <c r="W164">
        <v>360</v>
      </c>
      <c r="X164">
        <v>159.35</v>
      </c>
      <c r="AH164">
        <v>55</v>
      </c>
      <c r="AI164">
        <v>4</v>
      </c>
      <c r="AJ164">
        <v>7</v>
      </c>
      <c r="AK164">
        <v>22</v>
      </c>
      <c r="AL164">
        <v>20</v>
      </c>
      <c r="AM164">
        <v>2</v>
      </c>
      <c r="AN164" t="s">
        <v>702</v>
      </c>
      <c r="AO164" t="s">
        <v>702</v>
      </c>
    </row>
    <row r="165" spans="1:41" x14ac:dyDescent="0.25">
      <c r="A165" t="s">
        <v>565</v>
      </c>
      <c r="B165" t="s">
        <v>72</v>
      </c>
      <c r="C165" t="s">
        <v>566</v>
      </c>
      <c r="D165">
        <f>ROUND(
  (
    --SUBSTITUTE(LEFT(C165,19),"T"," ")
    - DATE(1970,1,1)
  ) * 86400000,
  0
)</f>
        <v>1761917565000</v>
      </c>
      <c r="E165" t="str">
        <f>LEFT(D165,10) &amp; "." &amp; RIGHT(D165,3)</f>
        <v>1761917565.000</v>
      </c>
      <c r="F165" s="3">
        <f>(((E165/60)/60)/24)+DATE(1970,1,1)</f>
        <v>45961.564409722225</v>
      </c>
      <c r="G165" t="str">
        <f>_xlfn.XLOOKUP(
  WorkoutData[[#This Row],[gmailMessageId]],
  WorkoutData_old[gmailMessageId],
  WorkoutData_old[WorkoutType]
)</f>
        <v>3G</v>
      </c>
      <c r="H165" s="4">
        <v>0.3576388888888889</v>
      </c>
      <c r="I165" t="s">
        <v>436</v>
      </c>
      <c r="J165" t="s">
        <v>437</v>
      </c>
      <c r="K165">
        <v>775</v>
      </c>
      <c r="L165">
        <v>20</v>
      </c>
      <c r="M165">
        <v>149</v>
      </c>
      <c r="N165">
        <v>188</v>
      </c>
      <c r="O165">
        <v>4167</v>
      </c>
      <c r="P165">
        <v>2.09</v>
      </c>
      <c r="Q165">
        <v>1026</v>
      </c>
      <c r="R165">
        <v>6.9</v>
      </c>
      <c r="S165">
        <v>10.5</v>
      </c>
      <c r="T165">
        <v>1.3</v>
      </c>
      <c r="U165">
        <v>6</v>
      </c>
      <c r="V165">
        <v>520</v>
      </c>
      <c r="W165">
        <v>342</v>
      </c>
      <c r="X165">
        <v>144.87</v>
      </c>
      <c r="Y165">
        <v>3137</v>
      </c>
      <c r="Z165">
        <v>861</v>
      </c>
      <c r="AA165">
        <v>5</v>
      </c>
      <c r="AB165">
        <v>286</v>
      </c>
      <c r="AC165">
        <v>15.2</v>
      </c>
      <c r="AD165">
        <v>18.600000000000001</v>
      </c>
      <c r="AE165">
        <v>120</v>
      </c>
      <c r="AF165">
        <v>96</v>
      </c>
      <c r="AG165">
        <v>29.8</v>
      </c>
      <c r="AH165">
        <v>53</v>
      </c>
      <c r="AI165">
        <v>13</v>
      </c>
      <c r="AJ165">
        <v>1</v>
      </c>
      <c r="AK165">
        <v>19</v>
      </c>
      <c r="AL165">
        <v>14</v>
      </c>
      <c r="AM165">
        <v>6</v>
      </c>
      <c r="AN165" t="s">
        <v>567</v>
      </c>
      <c r="AO165" t="s">
        <v>567</v>
      </c>
    </row>
    <row r="166" spans="1:41" x14ac:dyDescent="0.25">
      <c r="A166" t="s">
        <v>872</v>
      </c>
      <c r="B166" t="s">
        <v>70</v>
      </c>
      <c r="C166" t="s">
        <v>873</v>
      </c>
      <c r="D166">
        <f>ROUND(
  (
    --SUBSTITUTE(LEFT(C166,19),"T"," ")
    - DATE(1970,1,1)
  ) * 86400000,
  0
)</f>
        <v>1762180379000</v>
      </c>
      <c r="E166" t="str">
        <f>LEFT(D166,10) &amp; "." &amp; RIGHT(D166,3)</f>
        <v>1762180379.000</v>
      </c>
      <c r="F166" s="3">
        <f>(((E166/60)/60)/24)+DATE(1970,1,1)</f>
        <v>45964.606238425928</v>
      </c>
      <c r="G166" t="str">
        <f>_xlfn.XLOOKUP(
  WorkoutData[[#This Row],[gmailMessageId]],
  WorkoutData_old[gmailMessageId],
  WorkoutData_old[WorkoutType]
)</f>
        <v>3G</v>
      </c>
      <c r="H166" s="4">
        <v>0.3576388888888889</v>
      </c>
      <c r="I166" t="s">
        <v>436</v>
      </c>
      <c r="J166" t="s">
        <v>437</v>
      </c>
      <c r="K166">
        <v>887</v>
      </c>
      <c r="L166">
        <v>25</v>
      </c>
      <c r="M166">
        <v>158</v>
      </c>
      <c r="N166">
        <v>183</v>
      </c>
      <c r="O166">
        <v>3701</v>
      </c>
      <c r="P166">
        <v>1.89</v>
      </c>
      <c r="Q166">
        <v>1005</v>
      </c>
      <c r="R166">
        <v>5.7</v>
      </c>
      <c r="S166">
        <v>10</v>
      </c>
      <c r="T166">
        <v>1.3</v>
      </c>
      <c r="U166">
        <v>4</v>
      </c>
      <c r="V166">
        <v>628</v>
      </c>
      <c r="W166">
        <v>360</v>
      </c>
      <c r="X166">
        <v>134.97</v>
      </c>
      <c r="Y166">
        <v>3501</v>
      </c>
      <c r="Z166">
        <v>785</v>
      </c>
      <c r="AA166">
        <v>4</v>
      </c>
      <c r="AB166">
        <v>460</v>
      </c>
      <c r="AC166">
        <v>18</v>
      </c>
      <c r="AD166">
        <v>21.9</v>
      </c>
      <c r="AE166">
        <v>101</v>
      </c>
      <c r="AF166">
        <v>82</v>
      </c>
      <c r="AG166">
        <v>30.5</v>
      </c>
      <c r="AH166">
        <v>56</v>
      </c>
      <c r="AI166">
        <v>3</v>
      </c>
      <c r="AJ166">
        <v>5</v>
      </c>
      <c r="AK166">
        <v>23</v>
      </c>
      <c r="AL166">
        <v>24</v>
      </c>
      <c r="AM166">
        <v>1</v>
      </c>
      <c r="AN166" t="s">
        <v>874</v>
      </c>
      <c r="AO166" t="s">
        <v>874</v>
      </c>
    </row>
    <row r="167" spans="1:41" x14ac:dyDescent="0.25">
      <c r="A167" t="s">
        <v>929</v>
      </c>
      <c r="B167" t="s">
        <v>68</v>
      </c>
      <c r="C167" t="s">
        <v>930</v>
      </c>
      <c r="D167">
        <f>ROUND(
  (
    --SUBSTITUTE(LEFT(C167,19),"T"," ")
    - DATE(1970,1,1)
  ) * 86400000,
  0
)</f>
        <v>1762353466000</v>
      </c>
      <c r="E167" t="str">
        <f>LEFT(D167,10) &amp; "." &amp; RIGHT(D167,3)</f>
        <v>1762353466.000</v>
      </c>
      <c r="F167" s="3">
        <f>(((E167/60)/60)/24)+DATE(1970,1,1)</f>
        <v>45966.609560185185</v>
      </c>
      <c r="G167" t="str">
        <f>_xlfn.XLOOKUP(
  WorkoutData[[#This Row],[gmailMessageId]],
  WorkoutData_old[gmailMessageId],
  WorkoutData_old[WorkoutType]
)</f>
        <v>2G</v>
      </c>
      <c r="H167" s="4">
        <v>0.3576388888888889</v>
      </c>
      <c r="I167" t="s">
        <v>436</v>
      </c>
      <c r="J167" t="s">
        <v>689</v>
      </c>
      <c r="K167">
        <v>913</v>
      </c>
      <c r="L167">
        <v>20</v>
      </c>
      <c r="M167">
        <v>154</v>
      </c>
      <c r="N167">
        <v>185</v>
      </c>
      <c r="O167">
        <v>5115</v>
      </c>
      <c r="P167">
        <v>2.88</v>
      </c>
      <c r="Q167">
        <v>1624</v>
      </c>
      <c r="R167">
        <v>5.8</v>
      </c>
      <c r="S167">
        <v>9</v>
      </c>
      <c r="T167">
        <v>2.2999999999999998</v>
      </c>
      <c r="U167">
        <v>5</v>
      </c>
      <c r="V167">
        <v>622</v>
      </c>
      <c r="W167">
        <v>400</v>
      </c>
      <c r="X167">
        <v>346.97</v>
      </c>
      <c r="Y167">
        <v>632</v>
      </c>
      <c r="Z167">
        <v>150</v>
      </c>
      <c r="AA167">
        <v>9</v>
      </c>
      <c r="AB167">
        <v>414</v>
      </c>
      <c r="AC167">
        <v>17.7</v>
      </c>
      <c r="AD167">
        <v>20.6</v>
      </c>
      <c r="AE167">
        <v>104</v>
      </c>
      <c r="AF167">
        <v>87</v>
      </c>
      <c r="AG167">
        <v>30.7</v>
      </c>
      <c r="AH167">
        <v>61</v>
      </c>
      <c r="AI167">
        <v>3</v>
      </c>
      <c r="AJ167">
        <v>10</v>
      </c>
      <c r="AK167">
        <v>28</v>
      </c>
      <c r="AL167">
        <v>17</v>
      </c>
      <c r="AM167">
        <v>3</v>
      </c>
      <c r="AN167" t="s">
        <v>931</v>
      </c>
      <c r="AO167" t="s">
        <v>931</v>
      </c>
    </row>
    <row r="168" spans="1:41" x14ac:dyDescent="0.25">
      <c r="A168" t="s">
        <v>910</v>
      </c>
      <c r="B168" t="s">
        <v>66</v>
      </c>
      <c r="C168" t="s">
        <v>911</v>
      </c>
      <c r="D168">
        <f>ROUND(
  (
    --SUBSTITUTE(LEFT(C168,19),"T"," ")
    - DATE(1970,1,1)
  ) * 86400000,
  0
)</f>
        <v>1762620287000</v>
      </c>
      <c r="E168" t="str">
        <f>LEFT(D168,10) &amp; "." &amp; RIGHT(D168,3)</f>
        <v>1762620287.000</v>
      </c>
      <c r="F168" s="3">
        <f>(((E168/60)/60)/24)+DATE(1970,1,1)</f>
        <v>45969.69776620371</v>
      </c>
      <c r="G168" t="str">
        <f>_xlfn.XLOOKUP(
  WorkoutData[[#This Row],[gmailMessageId]],
  WorkoutData_old[gmailMessageId],
  WorkoutData_old[WorkoutType]
)</f>
        <v>3G</v>
      </c>
      <c r="H168" s="4">
        <v>0.44791666666666669</v>
      </c>
      <c r="I168" t="s">
        <v>436</v>
      </c>
      <c r="J168" t="s">
        <v>505</v>
      </c>
      <c r="K168">
        <v>902</v>
      </c>
      <c r="L168">
        <v>27</v>
      </c>
      <c r="M168">
        <v>155</v>
      </c>
      <c r="N168">
        <v>187</v>
      </c>
      <c r="O168">
        <v>3543</v>
      </c>
      <c r="P168">
        <v>2.1800000000000002</v>
      </c>
      <c r="Q168">
        <v>1027</v>
      </c>
      <c r="R168">
        <v>7.5</v>
      </c>
      <c r="S168">
        <v>10</v>
      </c>
      <c r="T168">
        <v>1</v>
      </c>
      <c r="U168">
        <v>1</v>
      </c>
      <c r="V168">
        <v>481</v>
      </c>
      <c r="W168">
        <v>360</v>
      </c>
      <c r="X168">
        <v>113.17</v>
      </c>
      <c r="Y168">
        <v>2134</v>
      </c>
      <c r="Z168">
        <v>601</v>
      </c>
      <c r="AA168">
        <v>293</v>
      </c>
      <c r="AB168">
        <v>543</v>
      </c>
      <c r="AC168">
        <v>10.9</v>
      </c>
      <c r="AD168">
        <v>23.1</v>
      </c>
      <c r="AE168">
        <v>104</v>
      </c>
      <c r="AF168">
        <v>77</v>
      </c>
      <c r="AG168">
        <v>28.2</v>
      </c>
      <c r="AH168">
        <v>59</v>
      </c>
      <c r="AI168">
        <v>7</v>
      </c>
      <c r="AJ168">
        <v>4</v>
      </c>
      <c r="AK168">
        <v>21</v>
      </c>
      <c r="AL168">
        <v>20</v>
      </c>
      <c r="AM168">
        <v>7</v>
      </c>
      <c r="AN168" t="s">
        <v>912</v>
      </c>
      <c r="AO168" t="s">
        <v>912</v>
      </c>
    </row>
    <row r="169" spans="1:41" x14ac:dyDescent="0.25">
      <c r="A169" t="s">
        <v>731</v>
      </c>
      <c r="B169" t="s">
        <v>64</v>
      </c>
      <c r="C169" t="s">
        <v>732</v>
      </c>
      <c r="D169">
        <f>ROUND(
  (
    --SUBSTITUTE(LEFT(C169,19),"T"," ")
    - DATE(1970,1,1)
  ) * 86400000,
  0
)</f>
        <v>1762785164000</v>
      </c>
      <c r="E169" t="str">
        <f>LEFT(D169,10) &amp; "." &amp; RIGHT(D169,3)</f>
        <v>1762785164.000</v>
      </c>
      <c r="F169" s="3">
        <f>(((E169/60)/60)/24)+DATE(1970,1,1)</f>
        <v>45971.606064814812</v>
      </c>
      <c r="G169" t="str">
        <f>_xlfn.XLOOKUP(
  WorkoutData[[#This Row],[gmailMessageId]],
  WorkoutData_old[gmailMessageId],
  WorkoutData_old[WorkoutType]
)</f>
        <v>3G</v>
      </c>
      <c r="H169" s="4">
        <v>0.3576388888888889</v>
      </c>
      <c r="I169" t="s">
        <v>436</v>
      </c>
      <c r="J169" t="s">
        <v>437</v>
      </c>
      <c r="K169">
        <v>843</v>
      </c>
      <c r="L169">
        <v>16</v>
      </c>
      <c r="M169">
        <v>152</v>
      </c>
      <c r="N169">
        <v>179</v>
      </c>
      <c r="O169">
        <v>3454</v>
      </c>
      <c r="P169">
        <v>1.83</v>
      </c>
      <c r="Q169">
        <v>930</v>
      </c>
      <c r="R169">
        <v>6</v>
      </c>
      <c r="S169">
        <v>9.5</v>
      </c>
      <c r="T169">
        <v>1</v>
      </c>
      <c r="U169">
        <v>1</v>
      </c>
      <c r="V169">
        <v>602</v>
      </c>
      <c r="W169">
        <v>378</v>
      </c>
      <c r="X169">
        <v>96.78</v>
      </c>
      <c r="Y169">
        <v>2933</v>
      </c>
      <c r="Z169">
        <v>780</v>
      </c>
      <c r="AA169">
        <v>9</v>
      </c>
      <c r="AB169">
        <v>471</v>
      </c>
      <c r="AC169">
        <v>18.3</v>
      </c>
      <c r="AD169">
        <v>36</v>
      </c>
      <c r="AE169">
        <v>103</v>
      </c>
      <c r="AF169">
        <v>50</v>
      </c>
      <c r="AG169">
        <v>31.6</v>
      </c>
      <c r="AH169">
        <v>57</v>
      </c>
      <c r="AI169">
        <v>5</v>
      </c>
      <c r="AJ169">
        <v>6</v>
      </c>
      <c r="AK169">
        <v>30</v>
      </c>
      <c r="AL169">
        <v>16</v>
      </c>
      <c r="AM169">
        <v>0</v>
      </c>
      <c r="AN169" t="s">
        <v>733</v>
      </c>
      <c r="AO169" t="s">
        <v>733</v>
      </c>
    </row>
    <row r="170" spans="1:41" x14ac:dyDescent="0.25">
      <c r="A170" t="s">
        <v>741</v>
      </c>
      <c r="B170" t="s">
        <v>62</v>
      </c>
      <c r="C170" t="s">
        <v>742</v>
      </c>
      <c r="D170">
        <f>ROUND(
  (
    --SUBSTITUTE(LEFT(C170,19),"T"," ")
    - DATE(1970,1,1)
  ) * 86400000,
  0
)</f>
        <v>1763130764000</v>
      </c>
      <c r="E170" t="str">
        <f>LEFT(D170,10) &amp; "." &amp; RIGHT(D170,3)</f>
        <v>1763130764.000</v>
      </c>
      <c r="F170" s="3">
        <f>(((E170/60)/60)/24)+DATE(1970,1,1)</f>
        <v>45975.606064814812</v>
      </c>
      <c r="G170" t="str">
        <f>_xlfn.XLOOKUP(
  WorkoutData[[#This Row],[gmailMessageId]],
  WorkoutData_old[gmailMessageId],
  WorkoutData_old[WorkoutType]
)</f>
        <v>3G</v>
      </c>
      <c r="H170" s="4">
        <v>0.3576388888888889</v>
      </c>
      <c r="I170" t="s">
        <v>436</v>
      </c>
      <c r="J170" t="s">
        <v>437</v>
      </c>
      <c r="K170">
        <v>847</v>
      </c>
      <c r="L170">
        <v>16</v>
      </c>
      <c r="M170">
        <v>154</v>
      </c>
      <c r="N170">
        <v>180</v>
      </c>
      <c r="O170">
        <v>3917</v>
      </c>
      <c r="P170">
        <v>1.9</v>
      </c>
      <c r="Q170">
        <v>1025</v>
      </c>
      <c r="R170">
        <v>5.7</v>
      </c>
      <c r="S170">
        <v>10.5</v>
      </c>
      <c r="T170">
        <v>1.8</v>
      </c>
      <c r="U170">
        <v>5</v>
      </c>
      <c r="V170">
        <v>631</v>
      </c>
      <c r="W170">
        <v>342</v>
      </c>
      <c r="X170">
        <v>182.66</v>
      </c>
      <c r="Y170">
        <v>2928</v>
      </c>
      <c r="Z170">
        <v>732</v>
      </c>
      <c r="AA170">
        <v>3</v>
      </c>
      <c r="AB170">
        <v>481</v>
      </c>
      <c r="AC170">
        <v>13.5</v>
      </c>
      <c r="AD170">
        <v>22.5</v>
      </c>
      <c r="AE170">
        <v>97</v>
      </c>
      <c r="AF170">
        <v>80</v>
      </c>
      <c r="AG170">
        <v>29.9</v>
      </c>
      <c r="AH170">
        <v>55</v>
      </c>
      <c r="AI170">
        <v>3</v>
      </c>
      <c r="AJ170">
        <v>2</v>
      </c>
      <c r="AK170">
        <v>34</v>
      </c>
      <c r="AL170">
        <v>16</v>
      </c>
      <c r="AM170">
        <v>0</v>
      </c>
      <c r="AN170" t="s">
        <v>743</v>
      </c>
      <c r="AO170" t="s">
        <v>743</v>
      </c>
    </row>
    <row r="171" spans="1:41" x14ac:dyDescent="0.25">
      <c r="A171" t="s">
        <v>646</v>
      </c>
      <c r="B171" t="s">
        <v>60</v>
      </c>
      <c r="C171" t="s">
        <v>647</v>
      </c>
      <c r="D171">
        <f>ROUND(
  (
    --SUBSTITUTE(LEFT(C171,19),"T"," ")
    - DATE(1970,1,1)
  ) * 86400000,
  0
)</f>
        <v>1763390266000</v>
      </c>
      <c r="E171" t="str">
        <f>LEFT(D171,10) &amp; "." &amp; RIGHT(D171,3)</f>
        <v>1763390266.000</v>
      </c>
      <c r="F171" s="3">
        <f>(((E171/60)/60)/24)+DATE(1970,1,1)</f>
        <v>45978.609560185185</v>
      </c>
      <c r="G171" t="str">
        <f>_xlfn.XLOOKUP(
  WorkoutData[[#This Row],[gmailMessageId]],
  WorkoutData_old[gmailMessageId],
  WorkoutData_old[WorkoutType]
)</f>
        <v>Tornado</v>
      </c>
      <c r="H171" s="4">
        <v>0.3576388888888889</v>
      </c>
      <c r="I171" t="s">
        <v>436</v>
      </c>
      <c r="J171" t="s">
        <v>437</v>
      </c>
      <c r="K171">
        <v>813</v>
      </c>
      <c r="L171">
        <v>16</v>
      </c>
      <c r="M171">
        <v>143</v>
      </c>
      <c r="N171">
        <v>183</v>
      </c>
      <c r="O171">
        <v>2066</v>
      </c>
      <c r="P171">
        <v>1.88</v>
      </c>
      <c r="Q171">
        <v>946</v>
      </c>
      <c r="R171">
        <v>4.5</v>
      </c>
      <c r="S171">
        <v>10</v>
      </c>
      <c r="T171">
        <v>1.1000000000000001</v>
      </c>
      <c r="U171">
        <v>6</v>
      </c>
      <c r="V171">
        <v>796</v>
      </c>
      <c r="W171">
        <v>360</v>
      </c>
      <c r="X171">
        <v>109.06</v>
      </c>
      <c r="Y171">
        <v>4499</v>
      </c>
      <c r="Z171">
        <v>1211</v>
      </c>
      <c r="AA171">
        <v>6</v>
      </c>
      <c r="AB171">
        <v>443</v>
      </c>
      <c r="AC171">
        <v>17.8</v>
      </c>
      <c r="AD171">
        <v>36</v>
      </c>
      <c r="AE171">
        <v>102</v>
      </c>
      <c r="AF171">
        <v>50</v>
      </c>
      <c r="AG171">
        <v>29.2</v>
      </c>
      <c r="AH171">
        <v>60</v>
      </c>
      <c r="AI171">
        <v>12</v>
      </c>
      <c r="AJ171">
        <v>6</v>
      </c>
      <c r="AK171">
        <v>26</v>
      </c>
      <c r="AL171">
        <v>16</v>
      </c>
      <c r="AM171">
        <v>0</v>
      </c>
      <c r="AN171" t="s">
        <v>648</v>
      </c>
      <c r="AO171" t="s">
        <v>648</v>
      </c>
    </row>
    <row r="172" spans="1:41" x14ac:dyDescent="0.25">
      <c r="A172" t="s">
        <v>881</v>
      </c>
      <c r="B172" t="s">
        <v>58</v>
      </c>
      <c r="C172" t="s">
        <v>882</v>
      </c>
      <c r="D172">
        <f>ROUND(
  (
    --SUBSTITUTE(LEFT(C172,19),"T"," ")
    - DATE(1970,1,1)
  ) * 86400000,
  0
)</f>
        <v>1763562703000</v>
      </c>
      <c r="E172" t="str">
        <f>LEFT(D172,10) &amp; "." &amp; RIGHT(D172,3)</f>
        <v>1763562703.000</v>
      </c>
      <c r="F172" s="3">
        <f>(((E172/60)/60)/24)+DATE(1970,1,1)</f>
        <v>45980.605358796296</v>
      </c>
      <c r="G172" t="str">
        <f>_xlfn.XLOOKUP(
  WorkoutData[[#This Row],[gmailMessageId]],
  WorkoutData_old[gmailMessageId],
  WorkoutData_old[WorkoutType]
)</f>
        <v>2G</v>
      </c>
      <c r="H172" s="4">
        <v>0.3576388888888889</v>
      </c>
      <c r="I172" t="s">
        <v>436</v>
      </c>
      <c r="J172" t="s">
        <v>468</v>
      </c>
      <c r="K172">
        <v>889</v>
      </c>
      <c r="L172">
        <v>22</v>
      </c>
      <c r="M172">
        <v>158</v>
      </c>
      <c r="N172">
        <v>180</v>
      </c>
      <c r="O172">
        <v>4271</v>
      </c>
      <c r="P172">
        <v>2.59</v>
      </c>
      <c r="Q172">
        <v>1308</v>
      </c>
      <c r="R172">
        <v>4.7</v>
      </c>
      <c r="S172">
        <v>10</v>
      </c>
      <c r="T172">
        <v>1.2</v>
      </c>
      <c r="U172">
        <v>4</v>
      </c>
      <c r="V172">
        <v>772</v>
      </c>
      <c r="W172">
        <v>360</v>
      </c>
      <c r="X172">
        <v>166.24</v>
      </c>
      <c r="AH172">
        <v>57</v>
      </c>
      <c r="AI172">
        <v>1</v>
      </c>
      <c r="AJ172">
        <v>6</v>
      </c>
      <c r="AK172">
        <v>28</v>
      </c>
      <c r="AL172">
        <v>22</v>
      </c>
      <c r="AM172">
        <v>0</v>
      </c>
      <c r="AN172" t="s">
        <v>883</v>
      </c>
      <c r="AO172" t="s">
        <v>883</v>
      </c>
    </row>
    <row r="173" spans="1:41" x14ac:dyDescent="0.25">
      <c r="A173" t="s">
        <v>774</v>
      </c>
      <c r="B173" t="s">
        <v>56</v>
      </c>
      <c r="C173" t="s">
        <v>775</v>
      </c>
      <c r="D173">
        <f>ROUND(
  (
    --SUBSTITUTE(LEFT(C173,19),"T"," ")
    - DATE(1970,1,1)
  ) * 86400000,
  0
)</f>
        <v>1763735865000</v>
      </c>
      <c r="E173" t="str">
        <f>LEFT(D173,10) &amp; "." &amp; RIGHT(D173,3)</f>
        <v>1763735865.000</v>
      </c>
      <c r="F173" s="3">
        <f>(((E173/60)/60)/24)+DATE(1970,1,1)</f>
        <v>45982.609548611115</v>
      </c>
      <c r="G173" t="str">
        <f>_xlfn.XLOOKUP(
  WorkoutData[[#This Row],[gmailMessageId]],
  WorkoutData_old[gmailMessageId],
  WorkoutData_old[WorkoutType]
)</f>
        <v>3G</v>
      </c>
      <c r="H173" s="4">
        <v>0.3576388888888889</v>
      </c>
      <c r="I173" t="s">
        <v>436</v>
      </c>
      <c r="J173" t="s">
        <v>437</v>
      </c>
      <c r="K173">
        <v>857</v>
      </c>
      <c r="L173">
        <v>24</v>
      </c>
      <c r="M173">
        <v>150</v>
      </c>
      <c r="N173">
        <v>184</v>
      </c>
      <c r="O173">
        <v>3606</v>
      </c>
      <c r="P173">
        <v>2.0499999999999998</v>
      </c>
      <c r="Q173">
        <v>976</v>
      </c>
      <c r="R173">
        <v>6.4</v>
      </c>
      <c r="S173">
        <v>10.5</v>
      </c>
      <c r="T173">
        <v>1</v>
      </c>
      <c r="U173">
        <v>1</v>
      </c>
      <c r="V173">
        <v>563</v>
      </c>
      <c r="W173">
        <v>342</v>
      </c>
      <c r="X173">
        <v>108.14</v>
      </c>
      <c r="Y173">
        <v>3669</v>
      </c>
      <c r="Z173">
        <v>1333</v>
      </c>
      <c r="AA173">
        <v>5</v>
      </c>
      <c r="AB173">
        <v>427</v>
      </c>
      <c r="AC173">
        <v>17.7</v>
      </c>
      <c r="AD173">
        <v>21.2</v>
      </c>
      <c r="AE173">
        <v>102</v>
      </c>
      <c r="AF173">
        <v>85</v>
      </c>
      <c r="AG173">
        <v>27.2</v>
      </c>
      <c r="AH173">
        <v>59</v>
      </c>
      <c r="AI173">
        <v>12</v>
      </c>
      <c r="AJ173">
        <v>2</v>
      </c>
      <c r="AK173">
        <v>21</v>
      </c>
      <c r="AL173">
        <v>23</v>
      </c>
      <c r="AM173">
        <v>1</v>
      </c>
      <c r="AN173" t="s">
        <v>776</v>
      </c>
      <c r="AO173" t="s">
        <v>776</v>
      </c>
    </row>
    <row r="174" spans="1:41" x14ac:dyDescent="0.25">
      <c r="A174" t="s">
        <v>494</v>
      </c>
      <c r="B174" t="s">
        <v>54</v>
      </c>
      <c r="C174" t="s">
        <v>495</v>
      </c>
      <c r="D174">
        <f>ROUND(
  (
    --SUBSTITUTE(LEFT(C174,19),"T"," ")
    - DATE(1970,1,1)
  ) * 86400000,
  0
)</f>
        <v>1763994763000</v>
      </c>
      <c r="E174" t="str">
        <f>LEFT(D174,10) &amp; "." &amp; RIGHT(D174,3)</f>
        <v>1763994763.000</v>
      </c>
      <c r="F174" s="3">
        <f>(((E174/60)/60)/24)+DATE(1970,1,1)</f>
        <v>45985.606053240743</v>
      </c>
      <c r="G174" t="str">
        <f>_xlfn.XLOOKUP(
  WorkoutData[[#This Row],[gmailMessageId]],
  WorkoutData_old[gmailMessageId],
  WorkoutData_old[WorkoutType]
)</f>
        <v>3G</v>
      </c>
      <c r="H174" s="4">
        <v>0.3576388888888889</v>
      </c>
      <c r="I174" t="s">
        <v>436</v>
      </c>
      <c r="J174" t="s">
        <v>437</v>
      </c>
      <c r="K174">
        <v>716</v>
      </c>
      <c r="L174">
        <v>17</v>
      </c>
      <c r="M174">
        <v>136</v>
      </c>
      <c r="N174">
        <v>186</v>
      </c>
      <c r="O174">
        <v>3284</v>
      </c>
      <c r="P174">
        <v>2.06</v>
      </c>
      <c r="Q174">
        <v>976</v>
      </c>
      <c r="R174">
        <v>6.4</v>
      </c>
      <c r="S174">
        <v>10.5</v>
      </c>
      <c r="T174">
        <v>1</v>
      </c>
      <c r="U174">
        <v>1</v>
      </c>
      <c r="V174">
        <v>562</v>
      </c>
      <c r="W174">
        <v>342</v>
      </c>
      <c r="X174">
        <v>108.47</v>
      </c>
      <c r="Y174">
        <v>3277</v>
      </c>
      <c r="Z174">
        <v>1098</v>
      </c>
      <c r="AA174">
        <v>6</v>
      </c>
      <c r="AB174">
        <v>515</v>
      </c>
      <c r="AC174">
        <v>18.600000000000001</v>
      </c>
      <c r="AD174">
        <v>22.8</v>
      </c>
      <c r="AE174">
        <v>97</v>
      </c>
      <c r="AF174">
        <v>78</v>
      </c>
      <c r="AG174">
        <v>27.6</v>
      </c>
      <c r="AH174">
        <v>57</v>
      </c>
      <c r="AI174">
        <v>20</v>
      </c>
      <c r="AJ174">
        <v>4</v>
      </c>
      <c r="AK174">
        <v>16</v>
      </c>
      <c r="AL174">
        <v>14</v>
      </c>
      <c r="AM174">
        <v>3</v>
      </c>
      <c r="AN174" t="s">
        <v>496</v>
      </c>
      <c r="AO174" t="s">
        <v>496</v>
      </c>
    </row>
    <row r="175" spans="1:41" x14ac:dyDescent="0.25">
      <c r="A175" t="s">
        <v>577</v>
      </c>
      <c r="B175" t="s">
        <v>52</v>
      </c>
      <c r="C175" t="s">
        <v>578</v>
      </c>
      <c r="D175">
        <f>ROUND(
  (
    --SUBSTITUTE(LEFT(C175,19),"T"," ")
    - DATE(1970,1,1)
  ) * 86400000,
  0
)</f>
        <v>1764599579000</v>
      </c>
      <c r="E175" t="str">
        <f>LEFT(D175,10) &amp; "." &amp; RIGHT(D175,3)</f>
        <v>1764599579.000</v>
      </c>
      <c r="F175" s="3">
        <f>(((E175/60)/60)/24)+DATE(1970,1,1)</f>
        <v>45992.606238425928</v>
      </c>
      <c r="G175" t="str">
        <f>_xlfn.XLOOKUP(
  WorkoutData[[#This Row],[gmailMessageId]],
  WorkoutData_old[gmailMessageId],
  WorkoutData_old[WorkoutType]
)</f>
        <v>3G</v>
      </c>
      <c r="H175" s="4">
        <v>0.3576388888888889</v>
      </c>
      <c r="I175" t="s">
        <v>436</v>
      </c>
      <c r="J175" t="s">
        <v>437</v>
      </c>
      <c r="K175">
        <v>778</v>
      </c>
      <c r="L175">
        <v>7</v>
      </c>
      <c r="M175">
        <v>144</v>
      </c>
      <c r="N175">
        <v>182</v>
      </c>
      <c r="O175">
        <v>3382</v>
      </c>
      <c r="P175">
        <v>1.67</v>
      </c>
      <c r="Q175">
        <v>939</v>
      </c>
      <c r="R175">
        <v>5.3</v>
      </c>
      <c r="S175">
        <v>10</v>
      </c>
      <c r="T175">
        <v>2.2000000000000002</v>
      </c>
      <c r="U175">
        <v>8</v>
      </c>
      <c r="V175">
        <v>680</v>
      </c>
      <c r="W175">
        <v>360</v>
      </c>
      <c r="X175">
        <v>192.78</v>
      </c>
      <c r="Y175">
        <v>2988</v>
      </c>
      <c r="Z175">
        <v>874</v>
      </c>
      <c r="AA175">
        <v>6</v>
      </c>
      <c r="AB175">
        <v>582</v>
      </c>
      <c r="AC175">
        <v>18.899999999999999</v>
      </c>
      <c r="AD175">
        <v>36</v>
      </c>
      <c r="AE175">
        <v>97</v>
      </c>
      <c r="AF175">
        <v>50</v>
      </c>
      <c r="AG175">
        <v>29.7</v>
      </c>
      <c r="AH175">
        <v>56</v>
      </c>
      <c r="AI175">
        <v>7</v>
      </c>
      <c r="AJ175">
        <v>11</v>
      </c>
      <c r="AK175">
        <v>31</v>
      </c>
      <c r="AL175">
        <v>7</v>
      </c>
      <c r="AM175">
        <v>0</v>
      </c>
      <c r="AN175" t="s">
        <v>579</v>
      </c>
      <c r="AO175" t="s">
        <v>579</v>
      </c>
    </row>
    <row r="176" spans="1:41" x14ac:dyDescent="0.25">
      <c r="A176" t="s">
        <v>593</v>
      </c>
      <c r="B176" t="s">
        <v>50</v>
      </c>
      <c r="C176" t="s">
        <v>594</v>
      </c>
      <c r="D176">
        <f>ROUND(
  (
    --SUBSTITUTE(LEFT(C176,19),"T"," ")
    - DATE(1970,1,1)
  ) * 86400000,
  0
)</f>
        <v>1764772364000</v>
      </c>
      <c r="E176" t="str">
        <f>LEFT(D176,10) &amp; "." &amp; RIGHT(D176,3)</f>
        <v>1764772364.000</v>
      </c>
      <c r="F176" s="3">
        <f>(((E176/60)/60)/24)+DATE(1970,1,1)</f>
        <v>45994.606064814812</v>
      </c>
      <c r="G176" t="str">
        <f>_xlfn.XLOOKUP(
  WorkoutData[[#This Row],[gmailMessageId]],
  WorkoutData_old[gmailMessageId],
  WorkoutData_old[WorkoutType]
)</f>
        <v>2G</v>
      </c>
      <c r="H176" s="4">
        <v>0.3576388888888889</v>
      </c>
      <c r="I176" t="s">
        <v>436</v>
      </c>
      <c r="J176" t="s">
        <v>468</v>
      </c>
      <c r="K176">
        <v>786</v>
      </c>
      <c r="L176">
        <v>23</v>
      </c>
      <c r="M176">
        <v>147</v>
      </c>
      <c r="N176">
        <v>181</v>
      </c>
      <c r="O176">
        <v>4322</v>
      </c>
      <c r="P176">
        <v>3.61</v>
      </c>
      <c r="Q176">
        <v>1535</v>
      </c>
      <c r="R176">
        <v>7.4</v>
      </c>
      <c r="S176">
        <v>10.5</v>
      </c>
      <c r="T176">
        <v>1</v>
      </c>
      <c r="U176">
        <v>1</v>
      </c>
      <c r="V176">
        <v>486</v>
      </c>
      <c r="W176">
        <v>342</v>
      </c>
      <c r="X176">
        <v>189.8</v>
      </c>
      <c r="Y176">
        <v>1252</v>
      </c>
      <c r="Z176">
        <v>392</v>
      </c>
      <c r="AA176">
        <v>5</v>
      </c>
      <c r="AB176">
        <v>512</v>
      </c>
      <c r="AC176">
        <v>9.4</v>
      </c>
      <c r="AD176">
        <v>22.4</v>
      </c>
      <c r="AE176">
        <v>93</v>
      </c>
      <c r="AF176">
        <v>80</v>
      </c>
      <c r="AG176">
        <v>32.1</v>
      </c>
      <c r="AH176">
        <v>56</v>
      </c>
      <c r="AI176">
        <v>9</v>
      </c>
      <c r="AJ176">
        <v>13</v>
      </c>
      <c r="AK176">
        <v>11</v>
      </c>
      <c r="AL176">
        <v>23</v>
      </c>
      <c r="AM176">
        <v>0</v>
      </c>
      <c r="AN176" t="s">
        <v>595</v>
      </c>
      <c r="AO176" t="s">
        <v>595</v>
      </c>
    </row>
    <row r="177" spans="1:41" x14ac:dyDescent="0.25">
      <c r="A177" t="s">
        <v>681</v>
      </c>
      <c r="B177" t="s">
        <v>48</v>
      </c>
      <c r="C177" t="s">
        <v>682</v>
      </c>
      <c r="D177">
        <f>ROUND(
  (
    --SUBSTITUTE(LEFT(C177,19),"T"," ")
    - DATE(1970,1,1)
  ) * 86400000,
  0
)</f>
        <v>1765377463000</v>
      </c>
      <c r="E177" t="str">
        <f>LEFT(D177,10) &amp; "." &amp; RIGHT(D177,3)</f>
        <v>1765377463.000</v>
      </c>
      <c r="F177" s="3">
        <f>(((E177/60)/60)/24)+DATE(1970,1,1)</f>
        <v>46001.609525462962</v>
      </c>
      <c r="G177" t="str">
        <f>_xlfn.XLOOKUP(
  WorkoutData[[#This Row],[gmailMessageId]],
  WorkoutData_old[gmailMessageId],
  WorkoutData_old[WorkoutType]
)</f>
        <v>2G</v>
      </c>
      <c r="H177" s="4">
        <v>0.3576388888888889</v>
      </c>
      <c r="I177" t="s">
        <v>436</v>
      </c>
      <c r="J177" t="s">
        <v>468</v>
      </c>
      <c r="K177">
        <v>833</v>
      </c>
      <c r="L177">
        <v>15</v>
      </c>
      <c r="M177">
        <v>149</v>
      </c>
      <c r="N177">
        <v>177</v>
      </c>
      <c r="O177">
        <v>4280</v>
      </c>
      <c r="P177">
        <v>2.86</v>
      </c>
      <c r="Q177">
        <v>0</v>
      </c>
      <c r="R177">
        <v>6.5</v>
      </c>
      <c r="S177">
        <v>10</v>
      </c>
      <c r="T177">
        <v>1</v>
      </c>
      <c r="U177">
        <v>1</v>
      </c>
      <c r="V177">
        <v>555</v>
      </c>
      <c r="W177">
        <v>360</v>
      </c>
      <c r="X177">
        <v>148.5</v>
      </c>
      <c r="Y177">
        <v>1341</v>
      </c>
      <c r="Z177">
        <v>449</v>
      </c>
      <c r="AA177">
        <v>9</v>
      </c>
      <c r="AB177">
        <v>349</v>
      </c>
      <c r="AC177">
        <v>17.2</v>
      </c>
      <c r="AD177">
        <v>19.600000000000001</v>
      </c>
      <c r="AE177">
        <v>105</v>
      </c>
      <c r="AF177">
        <v>92</v>
      </c>
      <c r="AG177">
        <v>30.1</v>
      </c>
      <c r="AH177">
        <v>56</v>
      </c>
      <c r="AI177">
        <v>7</v>
      </c>
      <c r="AJ177">
        <v>3</v>
      </c>
      <c r="AK177">
        <v>31</v>
      </c>
      <c r="AL177">
        <v>15</v>
      </c>
      <c r="AM177">
        <v>0</v>
      </c>
      <c r="AN177" t="s">
        <v>683</v>
      </c>
      <c r="AO177" t="s">
        <v>683</v>
      </c>
    </row>
    <row r="178" spans="1:41" x14ac:dyDescent="0.25">
      <c r="A178" t="s">
        <v>600</v>
      </c>
      <c r="B178" t="s">
        <v>46</v>
      </c>
      <c r="C178" t="s">
        <v>601</v>
      </c>
      <c r="D178">
        <f>ROUND(
  (
    --SUBSTITUTE(LEFT(C178,19),"T"," ")
    - DATE(1970,1,1)
  ) * 86400000,
  0
)</f>
        <v>1765549979000</v>
      </c>
      <c r="E178" t="str">
        <f>LEFT(D178,10) &amp; "." &amp; RIGHT(D178,3)</f>
        <v>1765549979.000</v>
      </c>
      <c r="F178" s="3">
        <f>(((E178/60)/60)/24)+DATE(1970,1,1)</f>
        <v>46003.606238425928</v>
      </c>
      <c r="G178" t="str">
        <f>_xlfn.XLOOKUP(
  WorkoutData[[#This Row],[gmailMessageId]],
  WorkoutData_old[gmailMessageId],
  WorkoutData_old[WorkoutType]
)</f>
        <v>3G</v>
      </c>
      <c r="H178" s="4">
        <v>0.3576388888888889</v>
      </c>
      <c r="I178" t="s">
        <v>436</v>
      </c>
      <c r="J178" t="s">
        <v>437</v>
      </c>
      <c r="K178">
        <v>788</v>
      </c>
      <c r="L178">
        <v>15</v>
      </c>
      <c r="M178">
        <v>145</v>
      </c>
      <c r="N178">
        <v>181</v>
      </c>
      <c r="O178">
        <v>3941</v>
      </c>
      <c r="P178">
        <v>1.92</v>
      </c>
      <c r="Q178">
        <v>1002</v>
      </c>
      <c r="R178">
        <v>6.6</v>
      </c>
      <c r="S178">
        <v>12</v>
      </c>
      <c r="T178">
        <v>1</v>
      </c>
      <c r="U178">
        <v>1</v>
      </c>
      <c r="V178">
        <v>547</v>
      </c>
      <c r="W178">
        <v>300</v>
      </c>
      <c r="X178">
        <v>101.48</v>
      </c>
      <c r="Y178">
        <v>2734</v>
      </c>
      <c r="Z178">
        <v>696</v>
      </c>
      <c r="AA178">
        <v>2</v>
      </c>
      <c r="AB178">
        <v>562</v>
      </c>
      <c r="AC178">
        <v>19.5</v>
      </c>
      <c r="AD178">
        <v>23.2</v>
      </c>
      <c r="AE178">
        <v>93</v>
      </c>
      <c r="AF178">
        <v>77</v>
      </c>
      <c r="AG178">
        <v>32</v>
      </c>
      <c r="AH178">
        <v>57</v>
      </c>
      <c r="AI178">
        <v>12</v>
      </c>
      <c r="AJ178">
        <v>5</v>
      </c>
      <c r="AK178">
        <v>25</v>
      </c>
      <c r="AL178">
        <v>15</v>
      </c>
      <c r="AM178">
        <v>0</v>
      </c>
      <c r="AN178" t="s">
        <v>602</v>
      </c>
      <c r="AO178" t="s">
        <v>602</v>
      </c>
    </row>
    <row r="179" spans="1:41" x14ac:dyDescent="0.25">
      <c r="A179" t="s">
        <v>1035</v>
      </c>
      <c r="B179" t="s">
        <v>44</v>
      </c>
      <c r="C179" t="s">
        <v>1036</v>
      </c>
      <c r="D179">
        <f>ROUND(
  (
    --SUBSTITUTE(LEFT(C179,19),"T"," ")
    - DATE(1970,1,1)
  ) * 86400000,
  0
)</f>
        <v>1765730660000</v>
      </c>
      <c r="E179" t="str">
        <f>LEFT(D179,10) &amp; "." &amp; RIGHT(D179,3)</f>
        <v>1765730660.000</v>
      </c>
      <c r="F179" s="3">
        <f>(((E179/60)/60)/24)+DATE(1970,1,1)</f>
        <v>46005.697453703702</v>
      </c>
      <c r="G179" t="str">
        <f>_xlfn.XLOOKUP(
  WorkoutData[[#This Row],[gmailMessageId]],
  WorkoutData_old[gmailMessageId],
  WorkoutData_old[WorkoutType]
)</f>
        <v>Hyrox 2G</v>
      </c>
      <c r="H179" s="4">
        <v>0.44791666666666669</v>
      </c>
      <c r="I179" t="s">
        <v>436</v>
      </c>
      <c r="J179" t="s">
        <v>468</v>
      </c>
      <c r="K179">
        <v>988</v>
      </c>
      <c r="L179">
        <v>37</v>
      </c>
      <c r="M179">
        <v>166</v>
      </c>
      <c r="N179">
        <v>186</v>
      </c>
      <c r="O179">
        <v>4960</v>
      </c>
      <c r="P179">
        <v>3.53</v>
      </c>
      <c r="Q179">
        <v>0</v>
      </c>
      <c r="R179">
        <v>7.1</v>
      </c>
      <c r="S179">
        <v>10.3</v>
      </c>
      <c r="T179">
        <v>1</v>
      </c>
      <c r="U179">
        <v>4</v>
      </c>
      <c r="V179">
        <v>504</v>
      </c>
      <c r="W179">
        <v>349</v>
      </c>
      <c r="X179">
        <v>189.18</v>
      </c>
      <c r="Y179">
        <v>1913</v>
      </c>
      <c r="Z179">
        <v>673</v>
      </c>
      <c r="AA179">
        <v>1</v>
      </c>
      <c r="AB179">
        <v>473</v>
      </c>
      <c r="AC179">
        <v>17.7</v>
      </c>
      <c r="AD179">
        <v>20.6</v>
      </c>
      <c r="AE179">
        <v>105</v>
      </c>
      <c r="AF179">
        <v>87</v>
      </c>
      <c r="AG179">
        <v>25.7</v>
      </c>
      <c r="AH179">
        <v>58</v>
      </c>
      <c r="AI179">
        <v>1</v>
      </c>
      <c r="AJ179">
        <v>3</v>
      </c>
      <c r="AK179">
        <v>17</v>
      </c>
      <c r="AL179">
        <v>30</v>
      </c>
      <c r="AM179">
        <v>7</v>
      </c>
      <c r="AN179" t="s">
        <v>1037</v>
      </c>
      <c r="AO179" t="s">
        <v>1037</v>
      </c>
    </row>
    <row r="180" spans="1:41" x14ac:dyDescent="0.25">
      <c r="A180" t="s">
        <v>466</v>
      </c>
      <c r="B180" t="s">
        <v>42</v>
      </c>
      <c r="C180" t="s">
        <v>467</v>
      </c>
      <c r="D180">
        <f>ROUND(
  (
    --SUBSTITUTE(LEFT(C180,19),"T"," ")
    - DATE(1970,1,1)
  ) * 86400000,
  0
)</f>
        <v>1765982267000</v>
      </c>
      <c r="E180" t="str">
        <f>LEFT(D180,10) &amp; "." &amp; RIGHT(D180,3)</f>
        <v>1765982267.000</v>
      </c>
      <c r="F180" s="3">
        <f>(((E180/60)/60)/24)+DATE(1970,1,1)</f>
        <v>46008.609571759262</v>
      </c>
      <c r="G180" t="str">
        <f>_xlfn.XLOOKUP(
  WorkoutData[[#This Row],[gmailMessageId]],
  WorkoutData_old[gmailMessageId],
  WorkoutData_old[WorkoutType]
)</f>
        <v>3G</v>
      </c>
      <c r="H180" s="4">
        <v>0.3576388888888889</v>
      </c>
      <c r="I180" t="s">
        <v>436</v>
      </c>
      <c r="J180" t="s">
        <v>468</v>
      </c>
      <c r="K180">
        <v>668</v>
      </c>
      <c r="L180">
        <v>19</v>
      </c>
      <c r="M180">
        <v>131</v>
      </c>
      <c r="N180">
        <v>185</v>
      </c>
      <c r="O180">
        <v>3864</v>
      </c>
      <c r="P180">
        <v>3.06</v>
      </c>
      <c r="Q180">
        <v>0</v>
      </c>
      <c r="R180">
        <v>6.1</v>
      </c>
      <c r="S180">
        <v>10</v>
      </c>
      <c r="T180">
        <v>1.6</v>
      </c>
      <c r="U180">
        <v>4</v>
      </c>
      <c r="V180">
        <v>588</v>
      </c>
      <c r="W180">
        <v>360</v>
      </c>
      <c r="X180">
        <v>262.76</v>
      </c>
      <c r="Y180">
        <v>1412</v>
      </c>
      <c r="Z180">
        <v>300</v>
      </c>
      <c r="AA180">
        <v>5</v>
      </c>
      <c r="AB180">
        <v>373</v>
      </c>
      <c r="AC180">
        <v>17.100000000000001</v>
      </c>
      <c r="AD180">
        <v>19.600000000000001</v>
      </c>
      <c r="AE180">
        <v>106</v>
      </c>
      <c r="AF180">
        <v>91</v>
      </c>
      <c r="AG180">
        <v>23.8</v>
      </c>
      <c r="AH180">
        <v>57</v>
      </c>
      <c r="AI180">
        <v>27</v>
      </c>
      <c r="AJ180">
        <v>4</v>
      </c>
      <c r="AK180">
        <v>7</v>
      </c>
      <c r="AL180">
        <v>17</v>
      </c>
      <c r="AM180">
        <v>2</v>
      </c>
      <c r="AN180" t="s">
        <v>469</v>
      </c>
      <c r="AO180" t="s">
        <v>469</v>
      </c>
    </row>
    <row r="181" spans="1:41" x14ac:dyDescent="0.25">
      <c r="A181" t="s">
        <v>728</v>
      </c>
      <c r="B181" t="s">
        <v>40</v>
      </c>
      <c r="C181" t="s">
        <v>729</v>
      </c>
      <c r="D181">
        <f>ROUND(
  (
    --SUBSTITUTE(LEFT(C181,19),"T"," ")
    - DATE(1970,1,1)
  ) * 86400000,
  0
)</f>
        <v>1766154809000</v>
      </c>
      <c r="E181" t="str">
        <f>LEFT(D181,10) &amp; "." &amp; RIGHT(D181,3)</f>
        <v>1766154809.000</v>
      </c>
      <c r="F181" s="3">
        <f>(((E181/60)/60)/24)+DATE(1970,1,1)</f>
        <v>46010.606585648144</v>
      </c>
      <c r="G181" t="str">
        <f>_xlfn.XLOOKUP(
  WorkoutData[[#This Row],[gmailMessageId]],
  WorkoutData_old[gmailMessageId],
  WorkoutData_old[WorkoutType]
)</f>
        <v>3G</v>
      </c>
      <c r="H181" s="4">
        <v>0.3576388888888889</v>
      </c>
      <c r="I181" t="s">
        <v>436</v>
      </c>
      <c r="J181" t="s">
        <v>437</v>
      </c>
      <c r="K181">
        <v>843</v>
      </c>
      <c r="L181">
        <v>16</v>
      </c>
      <c r="M181">
        <v>151</v>
      </c>
      <c r="N181">
        <v>180</v>
      </c>
      <c r="O181">
        <v>3513</v>
      </c>
      <c r="P181">
        <v>1.83</v>
      </c>
      <c r="Q181">
        <v>971</v>
      </c>
      <c r="R181">
        <v>5.7</v>
      </c>
      <c r="S181">
        <v>12</v>
      </c>
      <c r="T181">
        <v>1.7</v>
      </c>
      <c r="U181">
        <v>6</v>
      </c>
      <c r="V181">
        <v>630</v>
      </c>
      <c r="W181">
        <v>300</v>
      </c>
      <c r="X181">
        <v>167.17</v>
      </c>
      <c r="Y181">
        <v>4246</v>
      </c>
      <c r="Z181">
        <v>1056</v>
      </c>
      <c r="AA181">
        <v>8</v>
      </c>
      <c r="AB181">
        <v>483</v>
      </c>
      <c r="AC181">
        <v>15</v>
      </c>
      <c r="AD181">
        <v>22.1</v>
      </c>
      <c r="AE181">
        <v>106</v>
      </c>
      <c r="AF181">
        <v>81</v>
      </c>
      <c r="AG181">
        <v>28.7</v>
      </c>
      <c r="AH181">
        <v>57</v>
      </c>
      <c r="AI181">
        <v>6</v>
      </c>
      <c r="AJ181">
        <v>5</v>
      </c>
      <c r="AK181">
        <v>30</v>
      </c>
      <c r="AL181">
        <v>16</v>
      </c>
      <c r="AM181">
        <v>0</v>
      </c>
      <c r="AN181" t="s">
        <v>730</v>
      </c>
      <c r="AO181" t="s">
        <v>730</v>
      </c>
    </row>
    <row r="182" spans="1:41" x14ac:dyDescent="0.25">
      <c r="A182" t="s">
        <v>596</v>
      </c>
      <c r="B182" t="s">
        <v>38</v>
      </c>
      <c r="C182" t="s">
        <v>597</v>
      </c>
      <c r="D182">
        <f>ROUND(
  (
    --SUBSTITUTE(LEFT(C182,19),"T"," ")
    - DATE(1970,1,1)
  ) * 86400000,
  0
)</f>
        <v>1766335449000</v>
      </c>
      <c r="E182" t="str">
        <f>LEFT(D182,10) &amp; "." &amp; RIGHT(D182,3)</f>
        <v>1766335449.000</v>
      </c>
      <c r="F182" s="3">
        <f>(((E182/60)/60)/24)+DATE(1970,1,1)</f>
        <v>46012.697326388887</v>
      </c>
      <c r="G182" t="str">
        <f>_xlfn.XLOOKUP(
  WorkoutData[[#This Row],[gmailMessageId]],
  WorkoutData_old[gmailMessageId],
  WorkoutData_old[WorkoutType]
)</f>
        <v>Hyrox 2G</v>
      </c>
      <c r="H182" s="4">
        <v>0.44791666666666669</v>
      </c>
      <c r="I182" t="s">
        <v>436</v>
      </c>
      <c r="J182" t="s">
        <v>598</v>
      </c>
      <c r="K182">
        <v>788</v>
      </c>
      <c r="L182">
        <v>25</v>
      </c>
      <c r="M182">
        <v>142</v>
      </c>
      <c r="N182">
        <v>196</v>
      </c>
      <c r="O182">
        <v>3130</v>
      </c>
      <c r="P182">
        <v>2.3199999999999998</v>
      </c>
      <c r="Q182">
        <v>914</v>
      </c>
      <c r="R182">
        <v>7</v>
      </c>
      <c r="S182">
        <v>10.199999999999999</v>
      </c>
      <c r="T182">
        <v>1</v>
      </c>
      <c r="U182">
        <v>4</v>
      </c>
      <c r="V182">
        <v>513</v>
      </c>
      <c r="W182">
        <v>352</v>
      </c>
      <c r="X182">
        <v>123.92</v>
      </c>
      <c r="Y182">
        <v>2532</v>
      </c>
      <c r="Z182">
        <v>535</v>
      </c>
      <c r="AA182">
        <v>1</v>
      </c>
      <c r="AB182">
        <v>411</v>
      </c>
      <c r="AC182">
        <v>15.2</v>
      </c>
      <c r="AD182">
        <v>21.2</v>
      </c>
      <c r="AE182">
        <v>103</v>
      </c>
      <c r="AF182">
        <v>85</v>
      </c>
      <c r="AG182">
        <v>31.3</v>
      </c>
      <c r="AH182">
        <v>58</v>
      </c>
      <c r="AI182">
        <v>19</v>
      </c>
      <c r="AJ182">
        <v>3</v>
      </c>
      <c r="AK182">
        <v>11</v>
      </c>
      <c r="AL182">
        <v>16</v>
      </c>
      <c r="AM182">
        <v>9</v>
      </c>
      <c r="AN182" t="s">
        <v>599</v>
      </c>
      <c r="AO182" t="s">
        <v>599</v>
      </c>
    </row>
    <row r="183" spans="1:41" x14ac:dyDescent="0.25">
      <c r="A183" t="s">
        <v>1032</v>
      </c>
      <c r="B183" t="s">
        <v>36</v>
      </c>
      <c r="C183" t="s">
        <v>1033</v>
      </c>
      <c r="D183">
        <f>ROUND(
  (
    --SUBSTITUTE(LEFT(C183,19),"T"," ")
    - DATE(1970,1,1)
  ) * 86400000,
  0
)</f>
        <v>1766935857000</v>
      </c>
      <c r="E183" t="str">
        <f>LEFT(D183,10) &amp; "." &amp; RIGHT(D183,3)</f>
        <v>1766935857.000</v>
      </c>
      <c r="F183" s="3">
        <f>(((E183/60)/60)/24)+DATE(1970,1,1)</f>
        <v>46019.646493055552</v>
      </c>
      <c r="G183" t="str">
        <f>_xlfn.XLOOKUP(
  WorkoutData[[#This Row],[gmailMessageId]],
  WorkoutData_old[gmailMessageId],
  WorkoutData_old[WorkoutType]
)</f>
        <v>3G</v>
      </c>
      <c r="H183" s="4">
        <v>0.39583333333333331</v>
      </c>
      <c r="I183" t="s">
        <v>436</v>
      </c>
      <c r="J183" t="s">
        <v>598</v>
      </c>
      <c r="K183">
        <v>987</v>
      </c>
      <c r="L183">
        <v>29</v>
      </c>
      <c r="M183">
        <v>161</v>
      </c>
      <c r="N183">
        <v>185</v>
      </c>
      <c r="O183">
        <v>3553</v>
      </c>
      <c r="P183">
        <v>1.98</v>
      </c>
      <c r="Q183">
        <v>1006</v>
      </c>
      <c r="R183">
        <v>6.8</v>
      </c>
      <c r="S183">
        <v>12</v>
      </c>
      <c r="T183">
        <v>1.2</v>
      </c>
      <c r="U183">
        <v>4</v>
      </c>
      <c r="V183">
        <v>525</v>
      </c>
      <c r="W183">
        <v>300</v>
      </c>
      <c r="X183">
        <v>125.11</v>
      </c>
      <c r="Y183">
        <v>3214</v>
      </c>
      <c r="Z183">
        <v>767</v>
      </c>
      <c r="AA183">
        <v>9</v>
      </c>
      <c r="AB183">
        <v>502</v>
      </c>
      <c r="AC183">
        <v>12</v>
      </c>
      <c r="AD183">
        <v>22.3</v>
      </c>
      <c r="AE183">
        <v>100</v>
      </c>
      <c r="AF183">
        <v>80</v>
      </c>
      <c r="AG183">
        <v>26.9</v>
      </c>
      <c r="AH183">
        <v>60</v>
      </c>
      <c r="AI183">
        <v>1</v>
      </c>
      <c r="AJ183">
        <v>3</v>
      </c>
      <c r="AK183">
        <v>27</v>
      </c>
      <c r="AL183">
        <v>26</v>
      </c>
      <c r="AM183">
        <v>3</v>
      </c>
      <c r="AN183" t="s">
        <v>1034</v>
      </c>
      <c r="AO183" t="s">
        <v>1034</v>
      </c>
    </row>
    <row r="184" spans="1:41" x14ac:dyDescent="0.25">
      <c r="A184" t="s">
        <v>535</v>
      </c>
      <c r="B184" t="s">
        <v>34</v>
      </c>
      <c r="C184" t="s">
        <v>536</v>
      </c>
      <c r="D184">
        <f>ROUND(
  (
    --SUBSTITUTE(LEFT(C184,19),"T"," ")
    - DATE(1970,1,1)
  ) * 86400000,
  0
)</f>
        <v>1767101328000</v>
      </c>
      <c r="E184" t="str">
        <f>LEFT(D184,10) &amp; "." &amp; RIGHT(D184,3)</f>
        <v>1767101328.000</v>
      </c>
      <c r="F184" s="3">
        <f>(((E184/60)/60)/24)+DATE(1970,1,1)</f>
        <v>46021.561666666668</v>
      </c>
      <c r="G184" t="str">
        <f>_xlfn.XLOOKUP(
  WorkoutData[[#This Row],[gmailMessageId]],
  WorkoutData_old[gmailMessageId],
  WorkoutData_old[WorkoutType]
)</f>
        <v>2G</v>
      </c>
      <c r="H184" s="4">
        <v>0.3125</v>
      </c>
      <c r="I184" t="s">
        <v>436</v>
      </c>
      <c r="J184" t="s">
        <v>505</v>
      </c>
      <c r="K184">
        <v>760</v>
      </c>
      <c r="L184">
        <v>23</v>
      </c>
      <c r="M184">
        <v>148</v>
      </c>
      <c r="N184">
        <v>187</v>
      </c>
      <c r="O184">
        <v>4142</v>
      </c>
      <c r="P184">
        <v>3.07</v>
      </c>
      <c r="Q184">
        <v>1513</v>
      </c>
      <c r="R184">
        <v>7.3</v>
      </c>
      <c r="S184">
        <v>12</v>
      </c>
      <c r="T184">
        <v>1</v>
      </c>
      <c r="U184">
        <v>1</v>
      </c>
      <c r="V184">
        <v>494</v>
      </c>
      <c r="W184">
        <v>300</v>
      </c>
      <c r="X184">
        <v>162.01</v>
      </c>
      <c r="Y184">
        <v>1068</v>
      </c>
      <c r="Z184">
        <v>210</v>
      </c>
      <c r="AA184">
        <v>6</v>
      </c>
      <c r="AB184">
        <v>578</v>
      </c>
      <c r="AC184">
        <v>10.5</v>
      </c>
      <c r="AD184">
        <v>23.3</v>
      </c>
      <c r="AE184">
        <v>99</v>
      </c>
      <c r="AF184">
        <v>77</v>
      </c>
      <c r="AG184">
        <v>25.6</v>
      </c>
      <c r="AH184">
        <v>54</v>
      </c>
      <c r="AI184">
        <v>13</v>
      </c>
      <c r="AJ184">
        <v>2</v>
      </c>
      <c r="AK184">
        <v>16</v>
      </c>
      <c r="AL184">
        <v>18</v>
      </c>
      <c r="AM184">
        <v>5</v>
      </c>
      <c r="AN184" t="s">
        <v>537</v>
      </c>
      <c r="AO184" t="s">
        <v>537</v>
      </c>
    </row>
    <row r="185" spans="1:41" x14ac:dyDescent="0.25">
      <c r="A185" t="s">
        <v>487</v>
      </c>
      <c r="B185" t="s">
        <v>32</v>
      </c>
      <c r="C185" t="s">
        <v>488</v>
      </c>
      <c r="D185">
        <f>ROUND(
  (
    --SUBSTITUTE(LEFT(C185,19),"T"," ")
    - DATE(1970,1,1)
  ) * 86400000,
  0
)</f>
        <v>1767373156000</v>
      </c>
      <c r="E185" t="str">
        <f>LEFT(D185,10) &amp; "." &amp; RIGHT(D185,3)</f>
        <v>1767373156.000</v>
      </c>
      <c r="F185" s="3">
        <f>(((E185/60)/60)/24)+DATE(1970,1,1)</f>
        <v>46024.707824074074</v>
      </c>
      <c r="G185" t="str">
        <f>_xlfn.XLOOKUP(
  WorkoutData[[#This Row],[gmailMessageId]],
  WorkoutData_old[gmailMessageId],
  WorkoutData_old[WorkoutType]
)</f>
        <v>2G</v>
      </c>
      <c r="H185" s="4">
        <v>0.45833333333333331</v>
      </c>
      <c r="I185" t="s">
        <v>436</v>
      </c>
      <c r="J185" t="s">
        <v>489</v>
      </c>
      <c r="K185">
        <v>702</v>
      </c>
      <c r="L185">
        <v>24</v>
      </c>
      <c r="M185">
        <v>132</v>
      </c>
      <c r="N185">
        <v>188</v>
      </c>
      <c r="O185">
        <v>4604</v>
      </c>
      <c r="P185">
        <v>2.88</v>
      </c>
      <c r="Q185">
        <v>1493</v>
      </c>
      <c r="R185">
        <v>6.9</v>
      </c>
      <c r="S185">
        <v>10.5</v>
      </c>
      <c r="T185">
        <v>1</v>
      </c>
      <c r="U185">
        <v>1</v>
      </c>
      <c r="V185">
        <v>521</v>
      </c>
      <c r="W185">
        <v>342</v>
      </c>
      <c r="X185">
        <v>152.06</v>
      </c>
      <c r="AH185">
        <v>59</v>
      </c>
      <c r="AI185">
        <v>24</v>
      </c>
      <c r="AJ185">
        <v>4</v>
      </c>
      <c r="AK185">
        <v>7</v>
      </c>
      <c r="AL185">
        <v>20</v>
      </c>
      <c r="AM185">
        <v>4</v>
      </c>
      <c r="AN185" t="s">
        <v>490</v>
      </c>
      <c r="AO185" t="s">
        <v>490</v>
      </c>
    </row>
    <row r="186" spans="1:41" x14ac:dyDescent="0.25">
      <c r="A186" t="s">
        <v>896</v>
      </c>
      <c r="B186" t="s">
        <v>30</v>
      </c>
      <c r="C186" t="s">
        <v>897</v>
      </c>
      <c r="D186">
        <f>ROUND(
  (
    --SUBSTITUTE(LEFT(C186,19),"T"," ")
    - DATE(1970,1,1)
  ) * 86400000,
  0
)</f>
        <v>1767544965000</v>
      </c>
      <c r="E186" t="str">
        <f>LEFT(D186,10) &amp; "." &amp; RIGHT(D186,3)</f>
        <v>1767544965.000</v>
      </c>
      <c r="F186" s="3">
        <f>(((E186/60)/60)/24)+DATE(1970,1,1)</f>
        <v>46026.696354166663</v>
      </c>
      <c r="G186" t="str">
        <f>_xlfn.XLOOKUP(
  WorkoutData[[#This Row],[gmailMessageId]],
  WorkoutData_old[gmailMessageId],
  WorkoutData_old[WorkoutType]
)</f>
        <v>Hyrox 2G</v>
      </c>
      <c r="H186" s="4">
        <v>0.44791666666666669</v>
      </c>
      <c r="I186" t="s">
        <v>436</v>
      </c>
      <c r="J186" t="s">
        <v>898</v>
      </c>
      <c r="K186">
        <v>898</v>
      </c>
      <c r="L186">
        <v>32</v>
      </c>
      <c r="M186">
        <v>162</v>
      </c>
      <c r="N186">
        <v>183</v>
      </c>
      <c r="O186">
        <v>4616</v>
      </c>
      <c r="P186">
        <v>2.69</v>
      </c>
      <c r="Q186">
        <v>1429</v>
      </c>
      <c r="R186">
        <v>6.8</v>
      </c>
      <c r="S186">
        <v>9</v>
      </c>
      <c r="T186">
        <v>2.9</v>
      </c>
      <c r="U186">
        <v>3</v>
      </c>
      <c r="V186">
        <v>529</v>
      </c>
      <c r="W186">
        <v>400</v>
      </c>
      <c r="X186">
        <v>411.89</v>
      </c>
      <c r="Y186">
        <v>2043</v>
      </c>
      <c r="Z186">
        <v>627</v>
      </c>
      <c r="AA186">
        <v>3</v>
      </c>
      <c r="AB186">
        <v>506</v>
      </c>
      <c r="AC186">
        <v>17.7</v>
      </c>
      <c r="AD186">
        <v>22</v>
      </c>
      <c r="AE186">
        <v>102</v>
      </c>
      <c r="AF186">
        <v>96</v>
      </c>
      <c r="AG186">
        <v>27.1</v>
      </c>
      <c r="AH186">
        <v>54</v>
      </c>
      <c r="AI186">
        <v>3</v>
      </c>
      <c r="AJ186">
        <v>3</v>
      </c>
      <c r="AK186">
        <v>16</v>
      </c>
      <c r="AL186">
        <v>31</v>
      </c>
      <c r="AM186">
        <v>1</v>
      </c>
      <c r="AN186" t="s">
        <v>899</v>
      </c>
      <c r="AO186" t="s">
        <v>899</v>
      </c>
    </row>
    <row r="187" spans="1:41" x14ac:dyDescent="0.25">
      <c r="A187" t="s">
        <v>878</v>
      </c>
      <c r="B187" t="s">
        <v>28</v>
      </c>
      <c r="C187" t="s">
        <v>879</v>
      </c>
      <c r="D187">
        <f>ROUND(
  (
    --SUBSTITUTE(LEFT(C187,19),"T"," ")
    - DATE(1970,1,1)
  ) * 86400000,
  0
)</f>
        <v>1767710046000</v>
      </c>
      <c r="E187" t="str">
        <f>LEFT(D187,10) &amp; "." &amp; RIGHT(D187,3)</f>
        <v>1767710046.000</v>
      </c>
      <c r="F187" s="3">
        <f>(((E187/60)/60)/24)+DATE(1970,1,1)</f>
        <v>46028.60701388889</v>
      </c>
      <c r="G187" t="str">
        <f>_xlfn.XLOOKUP(
  WorkoutData[[#This Row],[gmailMessageId]],
  WorkoutData_old[gmailMessageId],
  WorkoutData_old[WorkoutType]
)</f>
        <v>2G</v>
      </c>
      <c r="H187" s="4">
        <v>0.3576388888888889</v>
      </c>
      <c r="I187" t="s">
        <v>436</v>
      </c>
      <c r="J187" t="s">
        <v>454</v>
      </c>
      <c r="K187">
        <v>889</v>
      </c>
      <c r="L187">
        <v>26</v>
      </c>
      <c r="M187">
        <v>155</v>
      </c>
      <c r="N187">
        <v>185</v>
      </c>
      <c r="O187">
        <v>5008</v>
      </c>
      <c r="P187">
        <v>3.06</v>
      </c>
      <c r="Q187">
        <v>1580</v>
      </c>
      <c r="R187">
        <v>7</v>
      </c>
      <c r="S187">
        <v>10</v>
      </c>
      <c r="T187">
        <v>2.6</v>
      </c>
      <c r="U187">
        <v>9</v>
      </c>
      <c r="V187">
        <v>514</v>
      </c>
      <c r="W187">
        <v>360</v>
      </c>
      <c r="X187">
        <v>420.08</v>
      </c>
      <c r="Y187">
        <v>2525</v>
      </c>
      <c r="Z187">
        <v>731</v>
      </c>
      <c r="AA187">
        <v>4</v>
      </c>
      <c r="AB187">
        <v>455</v>
      </c>
      <c r="AC187">
        <v>17.7</v>
      </c>
      <c r="AD187">
        <v>21.2</v>
      </c>
      <c r="AE187">
        <v>101</v>
      </c>
      <c r="AF187">
        <v>89</v>
      </c>
      <c r="AG187">
        <v>27.3</v>
      </c>
      <c r="AH187">
        <v>57</v>
      </c>
      <c r="AI187">
        <v>6</v>
      </c>
      <c r="AJ187">
        <v>4</v>
      </c>
      <c r="AK187">
        <v>21</v>
      </c>
      <c r="AL187">
        <v>24</v>
      </c>
      <c r="AM187">
        <v>2</v>
      </c>
      <c r="AN187" t="s">
        <v>880</v>
      </c>
      <c r="AO187" t="s">
        <v>880</v>
      </c>
    </row>
    <row r="188" spans="1:41" x14ac:dyDescent="0.25">
      <c r="A188" t="s">
        <v>734</v>
      </c>
      <c r="B188" t="s">
        <v>26</v>
      </c>
      <c r="C188" t="s">
        <v>735</v>
      </c>
      <c r="D188">
        <f>ROUND(
  (
    --SUBSTITUTE(LEFT(C188,19),"T"," ")
    - DATE(1970,1,1)
  ) * 86400000,
  0
)</f>
        <v>1767969119000</v>
      </c>
      <c r="E188" t="str">
        <f>LEFT(D188,10) &amp; "." &amp; RIGHT(D188,3)</f>
        <v>1767969119.000</v>
      </c>
      <c r="F188" s="3">
        <f>(((E188/60)/60)/24)+DATE(1970,1,1)</f>
        <v>46031.605543981481</v>
      </c>
      <c r="G188" t="str">
        <f>_xlfn.XLOOKUP(
  WorkoutData[[#This Row],[gmailMessageId]],
  WorkoutData_old[gmailMessageId],
  WorkoutData_old[WorkoutType]
)</f>
        <v>3G</v>
      </c>
      <c r="H188" s="4">
        <v>0.3576388888888889</v>
      </c>
      <c r="I188" t="s">
        <v>436</v>
      </c>
      <c r="J188" t="s">
        <v>736</v>
      </c>
      <c r="K188">
        <v>844</v>
      </c>
      <c r="L188">
        <v>22</v>
      </c>
      <c r="M188">
        <v>152</v>
      </c>
      <c r="N188">
        <v>183</v>
      </c>
      <c r="O188">
        <v>3223</v>
      </c>
      <c r="P188">
        <v>1.87</v>
      </c>
      <c r="Q188">
        <v>967</v>
      </c>
      <c r="R188">
        <v>7</v>
      </c>
      <c r="S188">
        <v>12</v>
      </c>
      <c r="T188">
        <v>1.4</v>
      </c>
      <c r="U188">
        <v>6</v>
      </c>
      <c r="V188">
        <v>514</v>
      </c>
      <c r="W188">
        <v>300</v>
      </c>
      <c r="X188">
        <v>138.22999999999999</v>
      </c>
      <c r="Y188">
        <v>3665</v>
      </c>
      <c r="Z188">
        <v>1112</v>
      </c>
      <c r="AA188">
        <v>6</v>
      </c>
      <c r="AB188">
        <v>484</v>
      </c>
      <c r="AC188">
        <v>18.600000000000001</v>
      </c>
      <c r="AD188">
        <v>22.3</v>
      </c>
      <c r="AE188">
        <v>97</v>
      </c>
      <c r="AF188">
        <v>89</v>
      </c>
      <c r="AG188">
        <v>24.9</v>
      </c>
      <c r="AH188">
        <v>56</v>
      </c>
      <c r="AI188">
        <v>8</v>
      </c>
      <c r="AJ188">
        <v>2</v>
      </c>
      <c r="AK188">
        <v>24</v>
      </c>
      <c r="AL188">
        <v>22</v>
      </c>
      <c r="AM188">
        <v>0</v>
      </c>
      <c r="AN188" t="s">
        <v>737</v>
      </c>
      <c r="AO188" t="s">
        <v>737</v>
      </c>
    </row>
    <row r="189" spans="1:41" x14ac:dyDescent="0.25">
      <c r="A189" t="s">
        <v>944</v>
      </c>
      <c r="B189" t="s">
        <v>24</v>
      </c>
      <c r="C189" t="s">
        <v>945</v>
      </c>
      <c r="D189">
        <f>ROUND(
  (
    --SUBSTITUTE(LEFT(C189,19),"T"," ")
    - DATE(1970,1,1)
  ) * 86400000,
  0
)</f>
        <v>1768149840000</v>
      </c>
      <c r="E189" t="str">
        <f>LEFT(D189,10) &amp; "." &amp; RIGHT(D189,3)</f>
        <v>1768149840.000</v>
      </c>
      <c r="F189" s="3">
        <f>(((E189/60)/60)/24)+DATE(1970,1,1)</f>
        <v>46033.697222222225</v>
      </c>
      <c r="G189" t="str">
        <f>_xlfn.XLOOKUP(
  WorkoutData[[#This Row],[gmailMessageId]],
  WorkoutData_old[gmailMessageId],
  WorkoutData_old[WorkoutType]
)</f>
        <v>Hyrox 2G</v>
      </c>
      <c r="H189" s="4">
        <v>0.44791666666666669</v>
      </c>
      <c r="I189" t="s">
        <v>436</v>
      </c>
      <c r="J189" t="s">
        <v>898</v>
      </c>
      <c r="K189">
        <v>919</v>
      </c>
      <c r="L189">
        <v>26</v>
      </c>
      <c r="M189">
        <v>159</v>
      </c>
      <c r="N189">
        <v>185</v>
      </c>
      <c r="O189">
        <v>4389</v>
      </c>
      <c r="P189">
        <v>2.37</v>
      </c>
      <c r="Q189">
        <v>1139</v>
      </c>
      <c r="R189">
        <v>7.5</v>
      </c>
      <c r="S189">
        <v>10</v>
      </c>
      <c r="T189">
        <v>1.6</v>
      </c>
      <c r="U189">
        <v>1</v>
      </c>
      <c r="V189">
        <v>480</v>
      </c>
      <c r="W189">
        <v>360</v>
      </c>
      <c r="X189">
        <v>200.22</v>
      </c>
      <c r="Y189">
        <v>986</v>
      </c>
      <c r="Z189">
        <v>299</v>
      </c>
      <c r="AA189">
        <v>8</v>
      </c>
      <c r="AB189">
        <v>433</v>
      </c>
      <c r="AC189">
        <v>18</v>
      </c>
      <c r="AD189">
        <v>21.2</v>
      </c>
      <c r="AE189">
        <v>100</v>
      </c>
      <c r="AF189">
        <v>84</v>
      </c>
      <c r="AG189">
        <v>27.7</v>
      </c>
      <c r="AH189">
        <v>57</v>
      </c>
      <c r="AI189">
        <v>2</v>
      </c>
      <c r="AJ189">
        <v>4</v>
      </c>
      <c r="AK189">
        <v>25</v>
      </c>
      <c r="AL189">
        <v>23</v>
      </c>
      <c r="AM189">
        <v>3</v>
      </c>
      <c r="AN189" t="s">
        <v>946</v>
      </c>
      <c r="AO189" t="s">
        <v>946</v>
      </c>
    </row>
    <row r="190" spans="1:41" x14ac:dyDescent="0.25">
      <c r="A190" t="s">
        <v>452</v>
      </c>
      <c r="B190" t="s">
        <v>22</v>
      </c>
      <c r="C190" t="s">
        <v>453</v>
      </c>
      <c r="D190">
        <f>ROUND(
  (
    --SUBSTITUTE(LEFT(C190,19),"T"," ")
    - DATE(1970,1,1)
  ) * 86400000,
  0
)</f>
        <v>1768314772000</v>
      </c>
      <c r="E190" t="str">
        <f>LEFT(D190,10) &amp; "." &amp; RIGHT(D190,3)</f>
        <v>1768314772.000</v>
      </c>
      <c r="F190" s="3">
        <f>(((E190/60)/60)/24)+DATE(1970,1,1)</f>
        <v>46035.606157407412</v>
      </c>
      <c r="G190" t="str">
        <f>_xlfn.XLOOKUP(
  WorkoutData[[#This Row],[gmailMessageId]],
  WorkoutData_old[gmailMessageId],
  WorkoutData_old[WorkoutType]
)</f>
        <v>2G</v>
      </c>
      <c r="H190" s="4">
        <v>0.3576388888888889</v>
      </c>
      <c r="I190" t="s">
        <v>436</v>
      </c>
      <c r="J190" t="s">
        <v>454</v>
      </c>
      <c r="K190">
        <v>604</v>
      </c>
      <c r="L190">
        <v>14</v>
      </c>
      <c r="M190">
        <v>126</v>
      </c>
      <c r="N190">
        <v>179</v>
      </c>
      <c r="O190">
        <v>3685</v>
      </c>
      <c r="P190">
        <v>1.97</v>
      </c>
      <c r="Q190">
        <v>924</v>
      </c>
      <c r="R190">
        <v>7.7</v>
      </c>
      <c r="S190">
        <v>9.5</v>
      </c>
      <c r="T190">
        <v>1.7</v>
      </c>
      <c r="U190">
        <v>1.5</v>
      </c>
      <c r="V190">
        <v>467</v>
      </c>
      <c r="W190">
        <v>378</v>
      </c>
      <c r="X190">
        <v>176.83</v>
      </c>
      <c r="Y190">
        <v>1661</v>
      </c>
      <c r="Z190">
        <v>334</v>
      </c>
      <c r="AA190">
        <v>1</v>
      </c>
      <c r="AB190">
        <v>421</v>
      </c>
      <c r="AC190">
        <v>18.5</v>
      </c>
      <c r="AD190">
        <v>36.700000000000003</v>
      </c>
      <c r="AE190">
        <v>97</v>
      </c>
      <c r="AF190">
        <v>94</v>
      </c>
      <c r="AG190">
        <v>30</v>
      </c>
      <c r="AH190">
        <v>56</v>
      </c>
      <c r="AI190">
        <v>30</v>
      </c>
      <c r="AJ190">
        <v>3</v>
      </c>
      <c r="AK190">
        <v>9</v>
      </c>
      <c r="AL190">
        <v>14</v>
      </c>
      <c r="AM190">
        <v>0</v>
      </c>
      <c r="AN190" t="s">
        <v>455</v>
      </c>
      <c r="AO190" t="s">
        <v>455</v>
      </c>
    </row>
    <row r="191" spans="1:41" x14ac:dyDescent="0.25">
      <c r="A191" t="s">
        <v>608</v>
      </c>
      <c r="B191" t="s">
        <v>20</v>
      </c>
      <c r="C191" t="s">
        <v>609</v>
      </c>
      <c r="D191">
        <f>ROUND(
  (
    --SUBSTITUTE(LEFT(C191,19),"T"," ")
    - DATE(1970,1,1)
  ) * 86400000,
  0
)</f>
        <v>1768487491000</v>
      </c>
      <c r="E191" t="str">
        <f>LEFT(D191,10) &amp; "." &amp; RIGHT(D191,3)</f>
        <v>1768487491.000</v>
      </c>
      <c r="F191" s="3">
        <f>(((E191/60)/60)/24)+DATE(1970,1,1)</f>
        <v>46037.605219907404</v>
      </c>
      <c r="G191" t="str">
        <f>_xlfn.XLOOKUP(
  WorkoutData[[#This Row],[gmailMessageId]],
  WorkoutData_old[gmailMessageId],
  WorkoutData_old[WorkoutType]
)</f>
        <v>2G</v>
      </c>
      <c r="H191" s="4">
        <v>0.3576388888888889</v>
      </c>
      <c r="I191" t="s">
        <v>436</v>
      </c>
      <c r="J191" t="s">
        <v>610</v>
      </c>
      <c r="K191">
        <v>795</v>
      </c>
      <c r="L191">
        <v>23</v>
      </c>
      <c r="M191">
        <v>147</v>
      </c>
      <c r="N191">
        <v>181</v>
      </c>
      <c r="O191">
        <v>5438</v>
      </c>
      <c r="P191">
        <v>3.58</v>
      </c>
      <c r="Q191">
        <v>1802</v>
      </c>
      <c r="R191">
        <v>7.1</v>
      </c>
      <c r="S191">
        <v>10</v>
      </c>
      <c r="T191">
        <v>2</v>
      </c>
      <c r="U191">
        <v>6</v>
      </c>
      <c r="V191">
        <v>507</v>
      </c>
      <c r="W191">
        <v>360</v>
      </c>
      <c r="X191">
        <v>378.05</v>
      </c>
      <c r="Y191">
        <v>922</v>
      </c>
      <c r="Z191">
        <v>189</v>
      </c>
      <c r="AA191">
        <v>8</v>
      </c>
      <c r="AB191">
        <v>644</v>
      </c>
      <c r="AC191">
        <v>19.3</v>
      </c>
      <c r="AD191">
        <v>22.7</v>
      </c>
      <c r="AE191">
        <v>93</v>
      </c>
      <c r="AF191">
        <v>90</v>
      </c>
      <c r="AG191">
        <v>26.3</v>
      </c>
      <c r="AH191">
        <v>55</v>
      </c>
      <c r="AI191">
        <v>11</v>
      </c>
      <c r="AJ191">
        <v>3</v>
      </c>
      <c r="AK191">
        <v>18</v>
      </c>
      <c r="AL191">
        <v>23</v>
      </c>
      <c r="AM191">
        <v>0</v>
      </c>
      <c r="AN191" t="s">
        <v>611</v>
      </c>
      <c r="AO191" t="s">
        <v>611</v>
      </c>
    </row>
    <row r="192" spans="1:41" x14ac:dyDescent="0.25">
      <c r="A192" t="s">
        <v>1047</v>
      </c>
      <c r="B192" t="s">
        <v>409</v>
      </c>
      <c r="C192" t="s">
        <v>1048</v>
      </c>
      <c r="D192">
        <f>ROUND(
  (
    --SUBSTITUTE(LEFT(C192,19),"T"," ")
    - DATE(1970,1,1)
  ) * 86400000,
  0
)</f>
        <v>1768754683000</v>
      </c>
      <c r="E192" t="str">
        <f>LEFT(D192,10) &amp; "." &amp; RIGHT(D192,3)</f>
        <v>1768754683.000</v>
      </c>
      <c r="F192" s="3">
        <f>(((E192/60)/60)/24)+DATE(1970,1,1)</f>
        <v>46040.697719907403</v>
      </c>
      <c r="G192" t="str">
        <f>_xlfn.XLOOKUP(
  WorkoutData[[#This Row],[gmailMessageId]],
  WorkoutData_old[gmailMessageId],
  WorkoutData_old[WorkoutType]
)</f>
        <v>Hyrox 3G</v>
      </c>
      <c r="H192" s="4">
        <v>0.44791666666666669</v>
      </c>
      <c r="I192" t="s">
        <v>436</v>
      </c>
      <c r="J192" t="s">
        <v>898</v>
      </c>
      <c r="K192">
        <v>1007</v>
      </c>
      <c r="L192">
        <v>41</v>
      </c>
      <c r="M192">
        <v>167</v>
      </c>
      <c r="N192">
        <v>186</v>
      </c>
      <c r="O192">
        <v>4080</v>
      </c>
      <c r="P192">
        <v>2.08</v>
      </c>
      <c r="Q192">
        <v>1008</v>
      </c>
      <c r="R192">
        <v>7.4</v>
      </c>
      <c r="S192">
        <v>10</v>
      </c>
      <c r="T192">
        <v>1</v>
      </c>
      <c r="U192">
        <v>1</v>
      </c>
      <c r="V192">
        <v>486</v>
      </c>
      <c r="W192">
        <v>360</v>
      </c>
      <c r="X192">
        <v>109.82</v>
      </c>
      <c r="Y192">
        <v>4038</v>
      </c>
      <c r="Z192">
        <v>1047</v>
      </c>
      <c r="AA192">
        <v>244</v>
      </c>
      <c r="AB192">
        <v>491</v>
      </c>
      <c r="AC192">
        <v>17.7</v>
      </c>
      <c r="AD192">
        <v>22.3</v>
      </c>
      <c r="AE192">
        <v>102</v>
      </c>
      <c r="AF192">
        <v>102</v>
      </c>
      <c r="AG192">
        <v>26.3</v>
      </c>
      <c r="AH192">
        <v>57</v>
      </c>
      <c r="AI192">
        <v>0</v>
      </c>
      <c r="AJ192">
        <v>1</v>
      </c>
      <c r="AK192">
        <v>15</v>
      </c>
      <c r="AL192">
        <v>38</v>
      </c>
      <c r="AM192">
        <v>3</v>
      </c>
      <c r="AN192" t="s">
        <v>1049</v>
      </c>
      <c r="AO192" t="s">
        <v>1049</v>
      </c>
    </row>
    <row r="193" spans="1:41" x14ac:dyDescent="0.25">
      <c r="A193" t="s">
        <v>674</v>
      </c>
      <c r="B193" t="s">
        <v>675</v>
      </c>
      <c r="C193" t="s">
        <v>676</v>
      </c>
      <c r="D193">
        <f>ROUND(
  (
    --SUBSTITUTE(LEFT(C193,19),"T"," ")
    - DATE(1970,1,1)
  ) * 86400000,
  0
)</f>
        <v>1768919868000</v>
      </c>
      <c r="E193" t="str">
        <f>LEFT(D193,10) &amp; "." &amp; RIGHT(D193,3)</f>
        <v>1768919868.000</v>
      </c>
      <c r="F193" s="3">
        <f>(((E193/60)/60)/24)+DATE(1970,1,1)</f>
        <v>46042.609583333338</v>
      </c>
      <c r="G193" t="s">
        <v>405</v>
      </c>
      <c r="H193" s="4">
        <v>0.3576388888888889</v>
      </c>
      <c r="I193" t="s">
        <v>436</v>
      </c>
      <c r="J193" t="s">
        <v>454</v>
      </c>
      <c r="K193">
        <v>832</v>
      </c>
      <c r="L193">
        <v>16</v>
      </c>
      <c r="M193">
        <v>151</v>
      </c>
      <c r="N193">
        <v>178</v>
      </c>
      <c r="O193">
        <v>4495</v>
      </c>
      <c r="P193">
        <v>2.67</v>
      </c>
      <c r="Q193">
        <v>1301</v>
      </c>
      <c r="R193">
        <v>7.4</v>
      </c>
      <c r="S193">
        <v>9</v>
      </c>
      <c r="T193">
        <v>1</v>
      </c>
      <c r="U193">
        <v>1</v>
      </c>
      <c r="V193">
        <v>486</v>
      </c>
      <c r="W193">
        <v>400</v>
      </c>
      <c r="X193">
        <v>140.97999999999999</v>
      </c>
      <c r="Y193">
        <v>851</v>
      </c>
      <c r="Z193">
        <v>178</v>
      </c>
      <c r="AA193">
        <v>4</v>
      </c>
      <c r="AB193">
        <v>426</v>
      </c>
      <c r="AC193">
        <v>18.100000000000001</v>
      </c>
      <c r="AD193">
        <v>21.2</v>
      </c>
      <c r="AE193">
        <v>99</v>
      </c>
      <c r="AF193">
        <v>84</v>
      </c>
      <c r="AG193">
        <v>28.7</v>
      </c>
      <c r="AH193">
        <v>56</v>
      </c>
      <c r="AI193">
        <v>2</v>
      </c>
      <c r="AJ193">
        <v>12</v>
      </c>
      <c r="AK193">
        <v>26</v>
      </c>
      <c r="AL193">
        <v>16</v>
      </c>
      <c r="AM193">
        <v>0</v>
      </c>
      <c r="AN193" t="s">
        <v>677</v>
      </c>
      <c r="AO193" t="s">
        <v>677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workouts-export</vt:lpstr>
      <vt:lpstr>Workout_2026-0121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Cokingtin</dc:creator>
  <cp:lastModifiedBy>Sean Cokingtin</cp:lastModifiedBy>
  <dcterms:created xsi:type="dcterms:W3CDTF">2026-01-17T01:53:58Z</dcterms:created>
  <dcterms:modified xsi:type="dcterms:W3CDTF">2026-01-22T12:42:27Z</dcterms:modified>
</cp:coreProperties>
</file>